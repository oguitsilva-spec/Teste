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 - Civilitá" sheetId="1" state="visible" r:id="rId1"/>
    <sheet name="Dados" sheetId="2" state="visible" r:id="rId2"/>
    <sheet name="Cenários de CPA" sheetId="3" state="visible" r:id="rId3"/>
    <sheet name="Gaps de Tracking" sheetId="4" state="visible" r:id="rId4"/>
    <sheet name="Alavan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&quot;×&quot;"/>
  </numFmts>
  <fonts count="24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9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0000FF"/>
      <sz val="11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b val="1"/>
      <color rgb="000000FF"/>
      <sz val="10"/>
    </font>
    <font>
      <name val="Arial"/>
      <sz val="10"/>
    </font>
    <font>
      <name val="Arial"/>
      <b val="1"/>
      <color rgb="00C00000"/>
      <sz val="8"/>
    </font>
    <font>
      <name val="Arial"/>
      <b val="1"/>
      <sz val="12"/>
    </font>
    <font>
      <name val="Arial"/>
      <b val="1"/>
      <color rgb="000000FF"/>
      <sz val="12"/>
    </font>
    <font>
      <name val="Arial"/>
      <b val="1"/>
      <sz val="9"/>
    </font>
    <font>
      <name val="Arial"/>
      <i val="1"/>
      <sz val="9"/>
    </font>
    <font>
      <name val="Arial"/>
      <b val="1"/>
      <color rgb="001F3864"/>
      <sz val="14"/>
    </font>
    <font>
      <name val="Arial"/>
      <b val="1"/>
      <color rgb="00C00000"/>
      <sz val="10"/>
    </font>
    <font>
      <name val="Arial"/>
      <b val="1"/>
      <color rgb="00C00000"/>
      <sz val="14"/>
    </font>
    <font>
      <name val="Arial"/>
      <i val="1"/>
      <color rgb="00595959"/>
      <sz val="10"/>
    </font>
    <font>
      <name val="Arial"/>
      <sz val="9"/>
    </font>
    <font>
      <name val="Arial"/>
      <b val="1"/>
      <color rgb="00C00000"/>
      <sz val="11"/>
    </font>
    <font>
      <name val="Arial"/>
      <b val="1"/>
      <i val="1"/>
      <color rgb="00C00000"/>
      <sz val="9"/>
    </font>
    <font>
      <name val="Arial"/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1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5" fillId="0" borderId="1" pivotButton="0" quotePrefix="0" xfId="0"/>
    <xf numFmtId="0" fontId="9" fillId="0" borderId="1" applyAlignment="1" pivotButton="0" quotePrefix="0" xfId="0">
      <alignment horizontal="center"/>
    </xf>
    <xf numFmtId="3" fontId="10" fillId="6" borderId="1" pivotButton="0" quotePrefix="0" xfId="0"/>
    <xf numFmtId="164" fontId="5" fillId="4" borderId="1" pivotButton="0" quotePrefix="0" xfId="0"/>
    <xf numFmtId="0" fontId="11" fillId="6" borderId="1" applyAlignment="1" pivotButton="0" quotePrefix="0" xfId="0">
      <alignment horizontal="center"/>
    </xf>
    <xf numFmtId="4" fontId="10" fillId="4" borderId="1" pivotButton="0" quotePrefix="0" xfId="0"/>
    <xf numFmtId="10" fontId="9" fillId="2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10" fontId="13" fillId="2" borderId="1" applyAlignment="1" pivotButton="0" quotePrefix="0" xfId="0">
      <alignment horizontal="center"/>
    </xf>
    <xf numFmtId="164" fontId="12" fillId="4" borderId="1" applyAlignment="1" pivotButton="0" quotePrefix="0" xfId="0">
      <alignment horizontal="center"/>
    </xf>
    <xf numFmtId="4" fontId="12" fillId="4" borderId="1" applyAlignment="1" pivotButton="0" quotePrefix="0" xfId="0">
      <alignment horizontal="center"/>
    </xf>
    <xf numFmtId="164" fontId="12" fillId="6" borderId="1" applyAlignment="1" pivotButton="0" quotePrefix="0" xfId="0">
      <alignment horizontal="center"/>
    </xf>
    <xf numFmtId="0" fontId="10" fillId="0" borderId="0" pivotButton="0" quotePrefix="0" xfId="0"/>
    <xf numFmtId="0" fontId="14" fillId="2" borderId="1" pivotButton="0" quotePrefix="0" xfId="0"/>
    <xf numFmtId="0" fontId="15" fillId="0" borderId="0" pivotButton="0" quotePrefix="0" xfId="0"/>
    <xf numFmtId="0" fontId="14" fillId="4" borderId="1" pivotButton="0" quotePrefix="0" xfId="0"/>
    <xf numFmtId="0" fontId="14" fillId="5" borderId="1" pivotButton="0" quotePrefix="0" xfId="0"/>
    <xf numFmtId="0" fontId="14" fillId="6" borderId="1" pivotButton="0" quotePrefix="0" xfId="0"/>
    <xf numFmtId="0" fontId="16" fillId="0" borderId="0" pivotButton="0" quotePrefix="0" xfId="0"/>
    <xf numFmtId="164" fontId="10" fillId="0" borderId="1" pivotButton="0" quotePrefix="0" xfId="0"/>
    <xf numFmtId="0" fontId="3" fillId="0" borderId="1" pivotButton="0" quotePrefix="0" xfId="0"/>
    <xf numFmtId="3" fontId="10" fillId="0" borderId="1" pivotButton="0" quotePrefix="0" xfId="0"/>
    <xf numFmtId="4" fontId="10" fillId="0" borderId="1" pivotButton="0" quotePrefix="0" xfId="0"/>
    <xf numFmtId="0" fontId="17" fillId="5" borderId="1" pivotButton="0" quotePrefix="0" xfId="0"/>
    <xf numFmtId="10" fontId="5" fillId="4" borderId="1" pivotButton="0" quotePrefix="0" xfId="0"/>
    <xf numFmtId="4" fontId="5" fillId="4" borderId="1" pivotButton="0" quotePrefix="0" xfId="0"/>
    <xf numFmtId="10" fontId="5" fillId="5" borderId="1" pivotButton="0" quotePrefix="0" xfId="0"/>
    <xf numFmtId="164" fontId="9" fillId="0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15" fillId="0" borderId="1" pivotButton="0" quotePrefix="0" xfId="0"/>
    <xf numFmtId="0" fontId="5" fillId="2" borderId="1" pivotButton="0" quotePrefix="0" xfId="0"/>
    <xf numFmtId="164" fontId="9" fillId="2" borderId="1" pivotButton="0" quotePrefix="0" xfId="0"/>
    <xf numFmtId="0" fontId="17" fillId="5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5" fillId="0" borderId="1" applyAlignment="1" pivotButton="0" quotePrefix="0" xfId="0">
      <alignment vertical="top" wrapText="1"/>
    </xf>
    <xf numFmtId="0" fontId="17" fillId="5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164" fontId="0" fillId="6" borderId="1" pivotButton="0" quotePrefix="0" xfId="0"/>
    <xf numFmtId="4" fontId="0" fillId="6" borderId="1" pivotButton="0" quotePrefix="0" xfId="0"/>
    <xf numFmtId="10" fontId="0" fillId="6" borderId="1" pivotButton="0" quotePrefix="0" xfId="0"/>
    <xf numFmtId="0" fontId="21" fillId="0" borderId="0" pivotButton="0" quotePrefix="0" xfId="0"/>
    <xf numFmtId="10" fontId="5" fillId="2" borderId="1" pivotButton="0" quotePrefix="0" xfId="0"/>
    <xf numFmtId="4" fontId="5" fillId="0" borderId="1" pivotButton="0" quotePrefix="0" xfId="0"/>
    <xf numFmtId="9" fontId="5" fillId="0" borderId="1" pivotButton="0" quotePrefix="0" xfId="0"/>
    <xf numFmtId="0" fontId="22" fillId="0" borderId="0" pivotButton="0" quotePrefix="0" xfId="0"/>
    <xf numFmtId="10" fontId="5" fillId="0" borderId="1" pivotButton="0" quotePrefix="0" xfId="0"/>
    <xf numFmtId="0" fontId="23" fillId="0" borderId="0" pivotButton="0" quotePrefix="0" xfId="0"/>
    <xf numFmtId="4" fontId="12" fillId="0" borderId="1" pivotButton="0" quotePrefix="0" xfId="0"/>
    <xf numFmtId="164" fontId="12" fillId="4" borderId="1" pivotButton="0" quotePrefix="0" xfId="0"/>
    <xf numFmtId="9" fontId="12" fillId="4" borderId="1" pivotButton="0" quotePrefix="0" xfId="0"/>
    <xf numFmtId="3" fontId="12" fillId="4" borderId="1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8" customWidth="1" min="4" max="4"/>
    <col width="58" customWidth="1" min="5" max="5"/>
  </cols>
  <sheetData>
    <row r="1">
      <c r="A1" s="1" t="inlineStr">
        <is>
          <t>IB — INDICADOR BASE | CIVILITÁ</t>
        </is>
      </c>
    </row>
    <row r="2">
      <c r="A2" s="2" t="inlineStr">
        <is>
          <t>Conta 485827814343326 · BM 810267537957924 · BRL · America/Sao_Paulo</t>
        </is>
      </c>
    </row>
    <row r="3">
      <c r="A3" s="3" t="inlineStr">
        <is>
          <t>Taxas reais medidas no período 08/07/2026 a 08/08/2026 (32 dias · R$3.722,83 · 109 compras)</t>
        </is>
      </c>
    </row>
    <row r="5">
      <c r="A5" s="4" t="inlineStr">
        <is>
          <t>PARÂMETRO DE ENTRADA</t>
        </is>
      </c>
    </row>
    <row r="6">
      <c r="A6" s="5" t="inlineStr">
        <is>
          <t>CPA ideal (meta de custo por venda)</t>
        </is>
      </c>
      <c r="B6" s="6" t="n">
        <v>43.85</v>
      </c>
      <c r="C6" s="7" t="inlineStr">
        <is>
          <t>◄ altere aqui. Ver aba 'Cenários de CPA' para as opções justificadas.</t>
        </is>
      </c>
    </row>
    <row r="8">
      <c r="A8" s="8" t="inlineStr">
        <is>
          <t>ETAPA DO FUNIL</t>
        </is>
      </c>
      <c r="B8" s="8" t="inlineStr">
        <is>
          <t>TAXA DE CONVERSÃO</t>
        </is>
      </c>
      <c r="C8" s="8" t="inlineStr">
        <is>
          <t>QTD POR VENDA</t>
        </is>
      </c>
      <c r="D8" s="8" t="inlineStr">
        <is>
          <t>CUSTO MÁXIMO</t>
        </is>
      </c>
    </row>
    <row r="9">
      <c r="A9" s="9" t="inlineStr">
        <is>
          <t>Venda (Purchase)</t>
        </is>
      </c>
      <c r="B9" s="10" t="inlineStr">
        <is>
          <t>—</t>
        </is>
      </c>
      <c r="C9" s="11" t="n">
        <v>1</v>
      </c>
      <c r="D9" s="12">
        <f>$B$6</f>
        <v>43.85</v>
      </c>
      <c r="E9" s="3" t="inlineStr">
        <is>
          <t>medido no período: 109 compras</t>
        </is>
      </c>
    </row>
    <row r="10">
      <c r="A10" s="9" t="inlineStr">
        <is>
          <t>Initiate Checkout × Purchase</t>
        </is>
      </c>
      <c r="B10" s="13" t="inlineStr">
        <is>
          <t>NÃO RASTREADO</t>
        </is>
      </c>
      <c r="C10" s="14">
        <f>C9</f>
        <v>1</v>
      </c>
      <c r="D10" s="12">
        <f>$B$6/C10</f>
        <v>43.85</v>
      </c>
      <c r="E10" s="3" t="inlineStr">
        <is>
          <t>evento inexistente no pixel — etapa colapsada (equivale a 100%)</t>
        </is>
      </c>
    </row>
    <row r="11">
      <c r="A11" s="9" t="inlineStr">
        <is>
          <t>Add to Cart × Initiate Checkout</t>
        </is>
      </c>
      <c r="B11" s="15" t="n">
        <v>0.121246</v>
      </c>
      <c r="C11" s="14">
        <f>C10/B11</f>
        <v>8.247706422</v>
      </c>
      <c r="D11" s="12">
        <f>$B$6/C11</f>
        <v>5.316629588</v>
      </c>
      <c r="E11" s="3" t="inlineStr">
        <is>
          <t>medido: 109 ÷ 899 = 12,12%  (na prática é ATC → Purchase)</t>
        </is>
      </c>
    </row>
    <row r="12">
      <c r="A12" s="9" t="inlineStr">
        <is>
          <t>View Product × Add to Cart</t>
        </is>
      </c>
      <c r="B12" s="13" t="inlineStr">
        <is>
          <t>NÃO RASTREADO</t>
        </is>
      </c>
      <c r="C12" s="14">
        <f>C11</f>
        <v>8.247706422</v>
      </c>
      <c r="D12" s="12">
        <f>$B$6/C12</f>
        <v>5.316629588</v>
      </c>
      <c r="E12" s="3" t="inlineStr">
        <is>
          <t>evento ViewContent inexistente no pixel — etapa colapsada</t>
        </is>
      </c>
    </row>
    <row r="13">
      <c r="A13" s="9" t="inlineStr">
        <is>
          <t>Page View × View Product</t>
        </is>
      </c>
      <c r="B13" s="16" t="n">
        <v>1.175163</v>
      </c>
      <c r="C13" s="14">
        <f>C12/B13</f>
        <v>7.018348624</v>
      </c>
      <c r="D13" s="12">
        <f>$B$6/C13</f>
        <v>6.247908497</v>
      </c>
      <c r="E13" s="3" t="inlineStr">
        <is>
          <t>medido: 899 ÷ 765 = 117,52%  ⚠ IMPOSSÍVEL — ver aba 'Gaps de Tracking'</t>
        </is>
      </c>
    </row>
    <row r="15">
      <c r="A15" s="8" t="inlineStr">
        <is>
          <t>CONNECT RATE</t>
        </is>
      </c>
      <c r="B15" s="8" t="inlineStr">
        <is>
          <t>CPC IDEAL</t>
        </is>
      </c>
      <c r="C15" s="8" t="inlineStr">
        <is>
          <t>CLIQUES POR VENDA</t>
        </is>
      </c>
      <c r="D15" s="8" t="inlineStr">
        <is>
          <t>CPC REAL MEDIDO</t>
        </is>
      </c>
    </row>
    <row r="16">
      <c r="A16" s="17" t="n">
        <v>0.369208</v>
      </c>
      <c r="B16" s="18">
        <f>$B$6/C16</f>
        <v>2.306780888</v>
      </c>
      <c r="C16" s="19">
        <f>C13/A16</f>
        <v>19.00917431</v>
      </c>
      <c r="D16" s="20">
        <f>Dados!B22</f>
        <v>1.796732625</v>
      </c>
      <c r="E16" s="3" t="inlineStr">
        <is>
          <t>medido: 765 LPV ÷ 2.072 cliques = 36,92%</t>
        </is>
      </c>
    </row>
    <row r="18">
      <c r="A18" s="4" t="inlineStr">
        <is>
          <t>VEREDITO</t>
        </is>
      </c>
    </row>
    <row r="19">
      <c r="A19" s="5" t="str">
        <f>IF(D16&lt;=B16,"✅ FOLGA: o CPC real de "&amp;TEXT(D16,"R$ 0.00")&amp;" está ABAIXO do CPC ideal de "&amp;TEXT(B16,"R$ 0.00")&amp;". Sobra "&amp;TEXT(B16-D16,"R$ 0.00")&amp;" por clique.","🔴 ESTOURO: o CPC real de "&amp;TEXT(D16,"R$ 0.00")&amp;" excede o CPC ideal de "&amp;TEXT(B16,"R$ 0.00")&amp;".")</f>
        <v>✅ FOLGA: o CPC real de R$ 1.80 está ABAIXO do CPC ideal de R$ 2.31. Sobra R$ 0.51 por clique.</v>
      </c>
    </row>
    <row r="20">
      <c r="A20" s="21" t="str">
        <f>"Para um CPA de "&amp;TEXT(B6,"R$ 0.00")&amp;" são necessários "&amp;TEXT(C16,"0.0")&amp;" cliques por venda. O real medido foi "&amp;TEXT(Dados!B33,"0.0")&amp;"."</f>
        <v>Para um CPA de R$ 43.85 são necessários 19.0 cliques por venda. O real medido foi 19.0.</v>
      </c>
    </row>
    <row r="22">
      <c r="A22" s="5" t="inlineStr">
        <is>
          <t>LEGENDA</t>
        </is>
      </c>
    </row>
    <row r="23">
      <c r="A23" s="22" t="inlineStr">
        <is>
          <t>Amarelo</t>
        </is>
      </c>
      <c r="B23" s="23" t="inlineStr">
        <is>
          <t>preencher / alterar</t>
        </is>
      </c>
    </row>
    <row r="24">
      <c r="A24" s="24" t="inlineStr">
        <is>
          <t>Verde</t>
        </is>
      </c>
      <c r="B24" s="23" t="inlineStr">
        <is>
          <t>resultado calculado</t>
        </is>
      </c>
    </row>
    <row r="25">
      <c r="A25" s="25" t="inlineStr">
        <is>
          <t>Vermelho</t>
        </is>
      </c>
      <c r="B25" s="23" t="inlineStr">
        <is>
          <t>dado com defeito confirmado</t>
        </is>
      </c>
    </row>
    <row r="26">
      <c r="A26" s="26" t="inlineStr">
        <is>
          <t>Cinza</t>
        </is>
      </c>
      <c r="B26" s="23" t="inlineStr">
        <is>
          <t>referência medida, não editar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</cols>
  <sheetData>
    <row r="1">
      <c r="A1" s="27" t="inlineStr">
        <is>
          <t>DADOS EXTRAÍDOS DA CONTA</t>
        </is>
      </c>
    </row>
    <row r="2">
      <c r="A2" s="3" t="inlineStr">
        <is>
          <t>Fonte: Meta Ads API · nível conta · 08/07/2026 a 08/08/2026 · leitura READ-ONLY</t>
        </is>
      </c>
    </row>
    <row r="4">
      <c r="A4" s="8" t="inlineStr">
        <is>
          <t>MÉTRICA</t>
        </is>
      </c>
      <c r="B4" s="8" t="inlineStr">
        <is>
          <t>VALOR</t>
        </is>
      </c>
      <c r="C4" s="8" t="inlineStr">
        <is>
          <t>ORIGEM</t>
        </is>
      </c>
    </row>
    <row r="5">
      <c r="A5" s="9" t="inlineStr">
        <is>
          <t>Amount Spent</t>
        </is>
      </c>
      <c r="B5" s="28" t="n">
        <v>3722.83</v>
      </c>
      <c r="C5" s="29" t="inlineStr">
        <is>
          <t>Meta — direto</t>
        </is>
      </c>
    </row>
    <row r="6">
      <c r="A6" s="9" t="inlineStr">
        <is>
          <t>Impressions</t>
        </is>
      </c>
      <c r="B6" s="30" t="n">
        <v>292642</v>
      </c>
      <c r="C6" s="29" t="inlineStr">
        <is>
          <t>Meta — direto</t>
        </is>
      </c>
    </row>
    <row r="7">
      <c r="A7" s="9" t="inlineStr">
        <is>
          <t>Reach</t>
        </is>
      </c>
      <c r="B7" s="30" t="n">
        <v>43882</v>
      </c>
      <c r="C7" s="29" t="inlineStr">
        <is>
          <t>Meta — direto</t>
        </is>
      </c>
    </row>
    <row r="8">
      <c r="A8" s="9" t="inlineStr">
        <is>
          <t>Frequency</t>
        </is>
      </c>
      <c r="B8" s="31" t="n">
        <v>6.668839</v>
      </c>
      <c r="C8" s="29" t="inlineStr">
        <is>
          <t>Meta — direto</t>
        </is>
      </c>
    </row>
    <row r="9">
      <c r="A9" s="9" t="inlineStr">
        <is>
          <t>CPM</t>
        </is>
      </c>
      <c r="B9" s="28" t="n">
        <v>12.72</v>
      </c>
      <c r="C9" s="29" t="inlineStr">
        <is>
          <t>Meta — direto</t>
        </is>
      </c>
    </row>
    <row r="10">
      <c r="A10" s="9" t="inlineStr">
        <is>
          <t>Link Clicks</t>
        </is>
      </c>
      <c r="B10" s="30" t="n">
        <v>2072</v>
      </c>
      <c r="C10" s="29" t="inlineStr">
        <is>
          <t>Meta — direto</t>
        </is>
      </c>
    </row>
    <row r="11">
      <c r="A11" s="9" t="inlineStr">
        <is>
          <t>Outbound Clicks</t>
        </is>
      </c>
      <c r="B11" s="30" t="n">
        <v>1679</v>
      </c>
      <c r="C11" s="29" t="inlineStr">
        <is>
          <t>Meta — direto</t>
        </is>
      </c>
    </row>
    <row r="12">
      <c r="A12" s="9" t="inlineStr">
        <is>
          <t>Landing Page Views</t>
        </is>
      </c>
      <c r="B12" s="30" t="n">
        <v>765</v>
      </c>
      <c r="C12" s="29" t="inlineStr">
        <is>
          <t>Meta — direto</t>
        </is>
      </c>
    </row>
    <row r="13">
      <c r="A13" s="9" t="inlineStr">
        <is>
          <t>Add to Cart</t>
        </is>
      </c>
      <c r="B13" s="30" t="n">
        <v>899</v>
      </c>
      <c r="C13" s="29" t="inlineStr">
        <is>
          <t>Meta — direto</t>
        </is>
      </c>
    </row>
    <row r="14">
      <c r="A14" s="9" t="inlineStr">
        <is>
          <t>Initiate Checkout</t>
        </is>
      </c>
      <c r="B14" s="32" t="inlineStr">
        <is>
          <t>—</t>
        </is>
      </c>
      <c r="C14" s="29" t="inlineStr">
        <is>
          <t>NÃO RASTREADO</t>
        </is>
      </c>
    </row>
    <row r="15">
      <c r="A15" s="9" t="inlineStr">
        <is>
          <t>View Content</t>
        </is>
      </c>
      <c r="B15" s="32" t="inlineStr">
        <is>
          <t>—</t>
        </is>
      </c>
      <c r="C15" s="29" t="inlineStr">
        <is>
          <t>NÃO RASTREADO</t>
        </is>
      </c>
    </row>
    <row r="16">
      <c r="A16" s="9" t="inlineStr">
        <is>
          <t>Purchases</t>
        </is>
      </c>
      <c r="B16" s="30" t="n">
        <v>109</v>
      </c>
      <c r="C16" s="29" t="inlineStr">
        <is>
          <t>Meta — direto</t>
        </is>
      </c>
    </row>
    <row r="17">
      <c r="A17" s="9" t="inlineStr">
        <is>
          <t>Purchase Conversion Value</t>
        </is>
      </c>
      <c r="B17" s="28" t="n">
        <v>22582.77</v>
      </c>
      <c r="C17" s="29" t="inlineStr">
        <is>
          <t>Meta — direto (superestima 15%)</t>
        </is>
      </c>
    </row>
    <row r="19">
      <c r="A19" s="4" t="inlineStr">
        <is>
          <t>DERIVADOS (fórmula)</t>
        </is>
      </c>
    </row>
    <row r="20">
      <c r="A20" s="8" t="inlineStr">
        <is>
          <t>MÉTRICA</t>
        </is>
      </c>
      <c r="B20" s="8" t="inlineStr">
        <is>
          <t>VALOR</t>
        </is>
      </c>
      <c r="C20" s="8" t="inlineStr">
        <is>
          <t>CÁLCULO</t>
        </is>
      </c>
    </row>
    <row r="21">
      <c r="A21" s="9" t="inlineStr">
        <is>
          <t>CTR (link)</t>
        </is>
      </c>
      <c r="B21" s="33">
        <f>B10/B6</f>
        <v>0.007080323399</v>
      </c>
      <c r="C21" s="29" t="inlineStr">
        <is>
          <t>Link Clicks ÷ Impressions</t>
        </is>
      </c>
    </row>
    <row r="22">
      <c r="A22" s="9" t="inlineStr">
        <is>
          <t>CPC (link)</t>
        </is>
      </c>
      <c r="B22" s="12">
        <f>B5/B10</f>
        <v>1.796732625</v>
      </c>
      <c r="C22" s="29" t="inlineStr">
        <is>
          <t>Spend ÷ Link Clicks</t>
        </is>
      </c>
    </row>
    <row r="23">
      <c r="A23" s="9" t="inlineStr">
        <is>
          <t>Custo por LPV</t>
        </is>
      </c>
      <c r="B23" s="12">
        <f>B5/B12</f>
        <v>4.866444444</v>
      </c>
      <c r="C23" s="29" t="inlineStr">
        <is>
          <t>Spend ÷ LPV</t>
        </is>
      </c>
    </row>
    <row r="24">
      <c r="A24" s="9" t="inlineStr">
        <is>
          <t>Custo por ATC</t>
        </is>
      </c>
      <c r="B24" s="12">
        <f>B5/B13</f>
        <v>4.141078977</v>
      </c>
      <c r="C24" s="29" t="inlineStr">
        <is>
          <t>Spend ÷ ATC</t>
        </is>
      </c>
    </row>
    <row r="25">
      <c r="A25" s="9" t="inlineStr">
        <is>
          <t>CPA (atribuído)</t>
        </is>
      </c>
      <c r="B25" s="12">
        <f>B5/B16</f>
        <v>34.15440367</v>
      </c>
      <c r="C25" s="29" t="inlineStr">
        <is>
          <t>Spend ÷ Purchases</t>
        </is>
      </c>
    </row>
    <row r="26">
      <c r="A26" s="9" t="inlineStr">
        <is>
          <t>ROAS (plataforma)</t>
        </is>
      </c>
      <c r="B26" s="34">
        <f>B17/B5</f>
        <v>6.066022354</v>
      </c>
      <c r="C26" s="29" t="inlineStr">
        <is>
          <t>Valor ÷ Spend</t>
        </is>
      </c>
    </row>
    <row r="27">
      <c r="A27" s="9" t="inlineStr">
        <is>
          <t>AOV (Meta)</t>
        </is>
      </c>
      <c r="B27" s="12">
        <f>B17/B16</f>
        <v>207.1813761</v>
      </c>
      <c r="C27" s="29" t="inlineStr">
        <is>
          <t>Valor ÷ Purchases</t>
        </is>
      </c>
    </row>
    <row r="28">
      <c r="A28" s="9" t="inlineStr">
        <is>
          <t>AOV (informado pelo negócio)</t>
        </is>
      </c>
      <c r="B28" s="12" t="n">
        <v>180</v>
      </c>
      <c r="C28" s="29" t="inlineStr">
        <is>
          <t>cliente — 21/08/2026</t>
        </is>
      </c>
    </row>
    <row r="29">
      <c r="A29" s="9" t="inlineStr">
        <is>
          <t>Connect Rate</t>
        </is>
      </c>
      <c r="B29" s="33">
        <f>B12/B10</f>
        <v>0.3692084942</v>
      </c>
      <c r="C29" s="29" t="inlineStr">
        <is>
          <t>LPV ÷ Link Clicks</t>
        </is>
      </c>
    </row>
    <row r="30">
      <c r="A30" s="9" t="inlineStr">
        <is>
          <t>LPV → ATC</t>
        </is>
      </c>
      <c r="B30" s="35">
        <f>B13/B12</f>
        <v>1.175163399</v>
      </c>
      <c r="C30" s="29" t="inlineStr">
        <is>
          <t>ATC ÷ LPV  ⚠ &gt;100%</t>
        </is>
      </c>
    </row>
    <row r="31">
      <c r="A31" s="9" t="inlineStr">
        <is>
          <t>ATC → Purchase</t>
        </is>
      </c>
      <c r="B31" s="33">
        <f>B16/B13</f>
        <v>0.1212458287</v>
      </c>
      <c r="C31" s="29" t="inlineStr">
        <is>
          <t>Purchases ÷ ATC</t>
        </is>
      </c>
    </row>
    <row r="32">
      <c r="A32" s="9" t="inlineStr">
        <is>
          <t>Clique → Purchase</t>
        </is>
      </c>
      <c r="B32" s="33">
        <f>B16/B10</f>
        <v>0.05260617761</v>
      </c>
      <c r="C32" s="29" t="inlineStr">
        <is>
          <t>Purchases ÷ Link Clicks</t>
        </is>
      </c>
    </row>
    <row r="33">
      <c r="A33" s="9" t="inlineStr">
        <is>
          <t>Cliques por venda</t>
        </is>
      </c>
      <c r="B33" s="34">
        <f>B10/B16</f>
        <v>19.00917431</v>
      </c>
      <c r="C33" s="29" t="inlineStr">
        <is>
          <t>Link Clicks ÷ Purchases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4" customWidth="1" min="3" max="3"/>
    <col width="22" customWidth="1" min="4" max="4"/>
    <col width="52" customWidth="1" min="5" max="5"/>
  </cols>
  <sheetData>
    <row r="1">
      <c r="A1" s="27" t="inlineStr">
        <is>
          <t>CENÁRIOS DE CPA — qual meta usar no Indicador Base</t>
        </is>
      </c>
    </row>
    <row r="2">
      <c r="A2" s="3" t="inlineStr">
        <is>
          <t>O CPA atribuído pela Meta e o CPA incremental real diferem por um fator de 2,44×. Planejar pelo atribuído sozinho superestima a entrega.</t>
        </is>
      </c>
    </row>
    <row r="4">
      <c r="A4" s="8" t="inlineStr">
        <is>
          <t>CENÁRIO</t>
        </is>
      </c>
      <c r="B4" s="8" t="inlineStr">
        <is>
          <t>CPA ATRIBUÍDO</t>
        </is>
      </c>
      <c r="C4" s="8" t="inlineStr">
        <is>
          <t>CPA INCREMENTAL EQUIV.</t>
        </is>
      </c>
      <c r="D4" s="8" t="inlineStr">
        <is>
          <t>LTV/CAC @margem 20%</t>
        </is>
      </c>
      <c r="E4" s="8" t="inlineStr">
        <is>
          <t>AVALIAÇÃO</t>
        </is>
      </c>
    </row>
    <row r="5">
      <c r="A5" s="9" t="inlineStr">
        <is>
          <t>A · CAC declarado pelo cliente</t>
        </is>
      </c>
      <c r="B5" s="36" t="n">
        <v>26</v>
      </c>
      <c r="C5" s="37">
        <f>B5*2.4374</f>
        <v>63.3724</v>
      </c>
      <c r="D5" s="38">
        <f>1600*0.2/C5</f>
        <v>5.049516824</v>
      </c>
      <c r="E5" s="39" t="inlineStr">
        <is>
          <t>muito conservador — LTV/CAC de 61× no CAC nominal</t>
        </is>
      </c>
    </row>
    <row r="6">
      <c r="A6" s="9" t="inlineStr">
        <is>
          <t>B · Realizado no período auditado</t>
        </is>
      </c>
      <c r="B6" s="36" t="n">
        <v>34.15</v>
      </c>
      <c r="C6" s="37">
        <f>B6*2.4374</f>
        <v>83.23721</v>
      </c>
      <c r="D6" s="38">
        <f>1600*0.2/C6</f>
        <v>3.844434478</v>
      </c>
      <c r="E6" s="39" t="inlineStr">
        <is>
          <t>o que a conta entregou de fato</t>
        </is>
      </c>
    </row>
    <row r="7">
      <c r="A7" s="40" t="inlineStr">
        <is>
          <t>C · Teto econômico (recomendado)</t>
        </is>
      </c>
      <c r="B7" s="41" t="n">
        <v>43.85</v>
      </c>
      <c r="C7" s="37">
        <f>B7*2.4374</f>
        <v>106.87999</v>
      </c>
      <c r="D7" s="38">
        <f>1600*0.2/C7</f>
        <v>2.994012256</v>
      </c>
      <c r="E7" s="39" t="inlineStr">
        <is>
          <t>mantém LTV/CAC ≥ 3× na margem pessimista</t>
        </is>
      </c>
    </row>
    <row r="8">
      <c r="A8" s="9" t="inlineStr">
        <is>
          <t>D · Limite absoluto</t>
        </is>
      </c>
      <c r="B8" s="36" t="n">
        <v>60</v>
      </c>
      <c r="C8" s="37">
        <f>B8*2.4374</f>
        <v>146.244</v>
      </c>
      <c r="D8" s="38">
        <f>1600*0.2/C8</f>
        <v>2.188123957</v>
      </c>
      <c r="E8" s="39" t="inlineStr">
        <is>
          <t>LTV/CAC cai abaixo de 2,5× — não ultrapassar</t>
        </is>
      </c>
    </row>
    <row r="10">
      <c r="A10" s="4" t="inlineStr">
        <is>
          <t>PREMISSAS</t>
        </is>
      </c>
    </row>
    <row r="11">
      <c r="A11" s="5" t="inlineStr">
        <is>
          <t>LTV (receita por cliente)</t>
        </is>
      </c>
      <c r="B11" s="21" t="inlineStr">
        <is>
          <t>R$ 1.600</t>
        </is>
      </c>
      <c r="C11" s="3" t="inlineStr">
        <is>
          <t>informado pelo cliente em 21/08/2026</t>
        </is>
      </c>
    </row>
    <row r="12">
      <c r="A12" s="5" t="inlineStr">
        <is>
          <t>Compras por cliente</t>
        </is>
      </c>
      <c r="B12" s="21" t="inlineStr">
        <is>
          <t>8 a 10</t>
        </is>
      </c>
      <c r="C12" s="3" t="inlineStr">
        <is>
          <t>informado pelo cliente</t>
        </is>
      </c>
    </row>
    <row r="13">
      <c r="A13" s="5" t="inlineStr">
        <is>
          <t>Ticket médio real</t>
        </is>
      </c>
      <c r="B13" s="21" t="inlineStr">
        <is>
          <t>R$ 180,00</t>
        </is>
      </c>
      <c r="C13" s="3" t="inlineStr">
        <is>
          <t>informado pelo cliente</t>
        </is>
      </c>
    </row>
    <row r="14">
      <c r="A14" s="5" t="inlineStr">
        <is>
          <t>Razão CPA incremental ÷ atribuído</t>
        </is>
      </c>
      <c r="B14" s="21" t="inlineStr">
        <is>
          <t>2,44×</t>
        </is>
      </c>
      <c r="C14" s="3" t="inlineStr">
        <is>
          <t>medido: janela 07–12/08, lift de 2,12 pedidos/dia</t>
        </is>
      </c>
    </row>
    <row r="15">
      <c r="A15" s="5" t="inlineStr">
        <is>
          <t>Margem de contribuição</t>
        </is>
      </c>
      <c r="B15" s="42" t="inlineStr">
        <is>
          <t>NÃO INFORMADA</t>
        </is>
      </c>
      <c r="C15" s="3" t="inlineStr">
        <is>
          <t>cenários usam 20% como pior caso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58" customWidth="1" min="3" max="3"/>
    <col width="30" customWidth="1" min="4" max="4"/>
  </cols>
  <sheetData>
    <row r="1">
      <c r="A1" s="43" t="inlineStr">
        <is>
          <t>GAPS DE TRACKING — o que impede preencher a planilha por completo</t>
        </is>
      </c>
    </row>
    <row r="2">
      <c r="A2" s="44" t="inlineStr">
        <is>
          <t>Dois dos quatro degraus do funil do Indicador Base não existem no pixel da Civilitá.</t>
        </is>
      </c>
    </row>
    <row r="4">
      <c r="A4" s="8" t="inlineStr">
        <is>
          <t>ITEM</t>
        </is>
      </c>
      <c r="B4" s="8" t="inlineStr">
        <is>
          <t>SITUAÇÃO</t>
        </is>
      </c>
      <c r="C4" s="8" t="inlineStr">
        <is>
          <t>IMPACTO NA PLANILHA</t>
        </is>
      </c>
      <c r="D4" s="8" t="inlineStr">
        <is>
          <t>AÇÃO</t>
        </is>
      </c>
    </row>
    <row r="5" ht="42" customHeight="1">
      <c r="A5" s="45" t="inlineStr">
        <is>
          <t>Evento InitiateCheckout</t>
        </is>
      </c>
      <c r="B5" s="46" t="inlineStr">
        <is>
          <t>Não existe no dataset</t>
        </is>
      </c>
      <c r="C5" s="47" t="inlineStr">
        <is>
          <t>A linha 'Initiate × Purchase' fica sem taxa. O degrau ATC→IC→Purchase colapsa em ATC→Purchase</t>
        </is>
      </c>
      <c r="D5" s="48" t="inlineStr">
        <is>
          <t>Implementar no site — P0</t>
        </is>
      </c>
    </row>
    <row r="6" ht="42" customHeight="1">
      <c r="A6" s="45" t="inlineStr">
        <is>
          <t>Evento ViewContent</t>
        </is>
      </c>
      <c r="B6" s="46" t="inlineStr">
        <is>
          <t>Não existe no dataset</t>
        </is>
      </c>
      <c r="C6" s="47" t="inlineStr">
        <is>
          <t>A linha 'View Product × Add to Cart' fica sem taxa</t>
        </is>
      </c>
      <c r="D6" s="48" t="inlineStr">
        <is>
          <t>Implementar com content_id — P1</t>
        </is>
      </c>
    </row>
    <row r="7" ht="42" customHeight="1">
      <c r="A7" s="45" t="inlineStr">
        <is>
          <t>AddToCart × LandingPageView = 117,5%</t>
        </is>
      </c>
      <c r="B7" s="46" t="inlineStr">
        <is>
          <t>Defeito confirmado</t>
        </is>
      </c>
      <c r="C7" s="47" t="inlineStr">
        <is>
          <t>Taxa acima de 100% é impossível: não se adiciona ao carrinho mais vezes do que se chegou à página</t>
        </is>
      </c>
      <c r="D7" s="48" t="inlineStr">
        <is>
          <t>Auditar em que ação o ATC dispara — P0</t>
        </is>
      </c>
    </row>
    <row r="8" ht="42" customHeight="1">
      <c r="A8" s="45" t="inlineStr">
        <is>
          <t>Purchase value 15% acima do ticket</t>
        </is>
      </c>
      <c r="B8" s="46" t="inlineStr">
        <is>
          <t>Meta reporta R$207,18 vs R$180 real</t>
        </is>
      </c>
      <c r="C8" s="47" t="inlineStr">
        <is>
          <t>ROAS da conta inflado em ~15%</t>
        </is>
      </c>
      <c r="D8" s="48" t="inlineStr">
        <is>
          <t>Verificar se frete entra no value — P1</t>
        </is>
      </c>
    </row>
    <row r="9" ht="42" customHeight="1">
      <c r="A9" s="45" t="inlineStr">
        <is>
          <t>CAPI (server-side)</t>
        </is>
      </c>
      <c r="B9" s="46" t="inlineStr">
        <is>
          <t>Nunca disparou</t>
        </is>
      </c>
      <c r="C9" s="47" t="inlineStr">
        <is>
          <t>Cobertura só por navegador; perde iOS e bloqueadores</t>
        </is>
      </c>
      <c r="D9" s="48" t="inlineStr">
        <is>
          <t>Implementar com deduplicação — P1</t>
        </is>
      </c>
    </row>
    <row r="10" ht="42" customHeight="1">
      <c r="A10" s="45" t="inlineStr">
        <is>
          <t>Event Match Quality</t>
        </is>
      </c>
      <c r="B10" s="46" t="inlineStr">
        <is>
          <t>Não acessível pela API</t>
        </is>
      </c>
      <c r="C10" s="47" t="inlineStr">
        <is>
          <t>Não dá para avaliar qualidade de correspondência</t>
        </is>
      </c>
      <c r="D10" s="48" t="inlineStr">
        <is>
          <t>Consultar no Events Manager</t>
        </is>
      </c>
    </row>
    <row r="13">
      <c r="A13" s="4" t="inlineStr">
        <is>
          <t>CONSEQUÊNCIA PRÁTICA</t>
        </is>
      </c>
    </row>
    <row r="14">
      <c r="A14" s="21" t="inlineStr">
        <is>
          <t>O Indicador Base foi preenchido com o funil que existe: Clique → Landing Page View → Add to Cart → Venda.</t>
        </is>
      </c>
    </row>
    <row r="15">
      <c r="A15" s="21" t="inlineStr">
        <is>
          <t>As duas etapas ausentes foram colapsadas (taxa equivalente a 100%), o que é matematicamente correto mas cega o diagnóstico:</t>
        </is>
      </c>
    </row>
    <row r="16">
      <c r="A16" s="21" t="inlineStr">
        <is>
          <t>não é possível saber se a perda entre carrinho e venda acontece no carrinho, no checkout ou no pagamento.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4" customWidth="1" min="4" max="4"/>
    <col width="26" customWidth="1" min="5" max="5"/>
  </cols>
  <sheetData>
    <row r="1">
      <c r="A1" s="27" t="inlineStr">
        <is>
          <t>ALAVANCAS DE CPA — o que o Indicador Base revela</t>
        </is>
      </c>
    </row>
    <row r="2">
      <c r="A2" s="44" t="inlineStr">
        <is>
          <t>Os custos unitários da conta cabem com folga na meta de CPA. O que trava não é o preço do clique — são as taxas de conversão.</t>
        </is>
      </c>
    </row>
    <row r="4">
      <c r="A4" s="4" t="inlineStr">
        <is>
          <t>PONTO DE PARTIDA (medido)</t>
        </is>
      </c>
    </row>
    <row r="5">
      <c r="A5" s="5" t="inlineStr">
        <is>
          <t>CPC real (link)</t>
        </is>
      </c>
      <c r="B5" s="49">
        <f>Dados!B22</f>
        <v>1.796732625</v>
      </c>
    </row>
    <row r="6">
      <c r="A6" s="5" t="inlineStr">
        <is>
          <t>Cliques por venda</t>
        </is>
      </c>
      <c r="B6" s="50">
        <f>Dados!B33</f>
        <v>19.00917431</v>
      </c>
    </row>
    <row r="7">
      <c r="A7" s="5" t="inlineStr">
        <is>
          <t>CPA atribuído</t>
        </is>
      </c>
      <c r="B7" s="49">
        <f>Dados!B25</f>
        <v>34.15440367</v>
      </c>
    </row>
    <row r="8">
      <c r="A8" s="5" t="inlineStr">
        <is>
          <t>Connect Rate</t>
        </is>
      </c>
      <c r="B8" s="51">
        <f>Dados!B29</f>
        <v>0.3692084942</v>
      </c>
    </row>
    <row r="9">
      <c r="A9" s="5" t="inlineStr">
        <is>
          <t>ATC → Purchase</t>
        </is>
      </c>
      <c r="B9" s="51">
        <f>Dados!B31</f>
        <v>0.1212458287</v>
      </c>
    </row>
    <row r="11">
      <c r="A11" s="52" t="inlineStr">
        <is>
          <t>ALAVANCA 1 — CONNECT RATE (corrigir o vazamento clique → página)</t>
        </is>
      </c>
    </row>
    <row r="12">
      <c r="A12" s="8" t="inlineStr">
        <is>
          <t>CONNECT RATE</t>
        </is>
      </c>
      <c r="B12" s="8" t="inlineStr">
        <is>
          <t>CLIQUES POR VENDA</t>
        </is>
      </c>
      <c r="C12" s="8" t="inlineStr">
        <is>
          <t>CPA PROJETADO</t>
        </is>
      </c>
      <c r="D12" s="8" t="inlineStr">
        <is>
          <t>VARIAÇÃO</t>
        </is>
      </c>
      <c r="E12" s="8" t="inlineStr">
        <is>
          <t>SITUAÇÃO</t>
        </is>
      </c>
    </row>
    <row r="13">
      <c r="A13" s="53" t="n">
        <v>0.369208</v>
      </c>
      <c r="B13" s="54">
        <f>(1/$B$9)/1.1751633986928105/A13</f>
        <v>19.00917431</v>
      </c>
      <c r="C13" s="12">
        <f>B13*$B$5</f>
        <v>34.15440367</v>
      </c>
      <c r="D13" s="55">
        <f>C13/$C$13-1</f>
        <v>0</v>
      </c>
      <c r="E13" s="56" t="inlineStr">
        <is>
          <t>◄ situação atual</t>
        </is>
      </c>
    </row>
    <row r="14">
      <c r="A14" s="57" t="n">
        <v>0.45</v>
      </c>
      <c r="B14" s="54">
        <f>(1/$B$9)/1.1751633986928105/A14</f>
        <v>15.59633028</v>
      </c>
      <c r="C14" s="12">
        <f>B14*$B$5</f>
        <v>28.02243544</v>
      </c>
      <c r="D14" s="55">
        <f>C14/$C$13-1</f>
        <v>-0.1795366795</v>
      </c>
      <c r="E14" s="56" t="inlineStr">
        <is>
          <t>meta mínima</t>
        </is>
      </c>
    </row>
    <row r="15">
      <c r="A15" s="57" t="n">
        <v>0.55</v>
      </c>
      <c r="B15" s="54">
        <f>(1/$B$9)/1.1751633986928105/A15</f>
        <v>12.76063386</v>
      </c>
      <c r="C15" s="12">
        <f>B15*$B$5</f>
        <v>22.92744718</v>
      </c>
      <c r="D15" s="55">
        <f>C15/$C$13-1</f>
        <v>-0.3287118287</v>
      </c>
      <c r="E15" s="56" t="inlineStr"/>
    </row>
    <row r="16">
      <c r="A16" s="53" t="n">
        <v>0.7</v>
      </c>
      <c r="B16" s="54">
        <f>(1/$B$9)/1.1751633986928105/A16</f>
        <v>10.02621232</v>
      </c>
      <c r="C16" s="12">
        <f>B16*$B$5</f>
        <v>18.01442278</v>
      </c>
      <c r="D16" s="55">
        <f>C16/$C$13-1</f>
        <v>-0.472559294</v>
      </c>
      <c r="E16" s="56" t="inlineStr">
        <is>
          <t>◄ meta do plano</t>
        </is>
      </c>
    </row>
    <row r="17">
      <c r="A17" s="57" t="n">
        <v>0.85</v>
      </c>
      <c r="B17" s="54">
        <f>(1/$B$9)/1.1751633986928105/A17</f>
        <v>8.256880734</v>
      </c>
      <c r="C17" s="12">
        <f>B17*$B$5</f>
        <v>14.835407</v>
      </c>
      <c r="D17" s="55">
        <f>C17/$C$13-1</f>
        <v>-0.5656370656</v>
      </c>
      <c r="E17" s="56" t="inlineStr">
        <is>
          <t>excelente</t>
        </is>
      </c>
    </row>
    <row r="19">
      <c r="A19" s="52" t="inlineStr">
        <is>
          <t>ALAVANCA 2 — ATC → PURCHASE (oferta e checkout)</t>
        </is>
      </c>
    </row>
    <row r="20">
      <c r="A20" s="8" t="inlineStr">
        <is>
          <t>ATC → PURCHASE</t>
        </is>
      </c>
      <c r="B20" s="8" t="inlineStr">
        <is>
          <t>CLIQUES POR VENDA</t>
        </is>
      </c>
      <c r="C20" s="8" t="inlineStr">
        <is>
          <t>CPA PROJETADO</t>
        </is>
      </c>
      <c r="D20" s="8" t="inlineStr">
        <is>
          <t>VARIAÇÃO</t>
        </is>
      </c>
      <c r="E20" s="8" t="inlineStr">
        <is>
          <t>SITUAÇÃO</t>
        </is>
      </c>
    </row>
    <row r="21">
      <c r="A21" s="53" t="n">
        <v>0.121246</v>
      </c>
      <c r="B21" s="54">
        <f>(1/A21)/1.1751633986928105/$B$8</f>
        <v>19.00917431</v>
      </c>
      <c r="C21" s="12">
        <f>B21*$B$5</f>
        <v>34.15440367</v>
      </c>
      <c r="D21" s="55">
        <f>C21/$C$21-1</f>
        <v>0</v>
      </c>
      <c r="E21" s="56" t="inlineStr">
        <is>
          <t>◄ situação atual</t>
        </is>
      </c>
    </row>
    <row r="22">
      <c r="A22" s="57" t="n">
        <v>0.15</v>
      </c>
      <c r="B22" s="54">
        <f>(1/A22)/1.1751633986928105/$B$8</f>
        <v>15.36522062</v>
      </c>
      <c r="C22" s="12">
        <f>B22*$B$5</f>
        <v>27.60719318</v>
      </c>
      <c r="D22" s="55">
        <f>C22/$C$21-1</f>
        <v>-0.1916944753</v>
      </c>
      <c r="E22" s="56" t="inlineStr"/>
    </row>
    <row r="23">
      <c r="A23" s="53" t="n">
        <v>0.2</v>
      </c>
      <c r="B23" s="54">
        <f>(1/A23)/1.1751633986928105/$B$8</f>
        <v>11.52391546</v>
      </c>
      <c r="C23" s="12">
        <f>B23*$B$5</f>
        <v>20.70539488</v>
      </c>
      <c r="D23" s="55">
        <f>C23/$C$21-1</f>
        <v>-0.3937708565</v>
      </c>
      <c r="E23" s="56" t="inlineStr">
        <is>
          <t>◄ meta do plano</t>
        </is>
      </c>
    </row>
    <row r="24">
      <c r="A24" s="57" t="n">
        <v>0.25</v>
      </c>
      <c r="B24" s="54">
        <f>(1/A24)/1.1751633986928105/$B$8</f>
        <v>9.219132369</v>
      </c>
      <c r="C24" s="12">
        <f>B24*$B$5</f>
        <v>16.56431591</v>
      </c>
      <c r="D24" s="55">
        <f>C24/$C$21-1</f>
        <v>-0.5150166852</v>
      </c>
      <c r="E24" s="56" t="inlineStr"/>
    </row>
    <row r="26">
      <c r="A26" s="58" t="inlineStr">
        <is>
          <t>COMBINADO — Connect Rate 70% + ATC→Purchase 20%</t>
        </is>
      </c>
    </row>
    <row r="27">
      <c r="A27" s="5" t="inlineStr">
        <is>
          <t>Cliques por venda</t>
        </is>
      </c>
      <c r="B27" s="59">
        <f>(1/0.20)/1.1751633986928105/0.70</f>
        <v>6.078182107</v>
      </c>
    </row>
    <row r="28">
      <c r="A28" s="5" t="inlineStr">
        <is>
          <t>CPA projetado</t>
        </is>
      </c>
      <c r="B28" s="60">
        <f>B27*$B$5</f>
        <v>10.9208681</v>
      </c>
    </row>
    <row r="29">
      <c r="A29" s="5" t="inlineStr">
        <is>
          <t>Variação vs hoje</t>
        </is>
      </c>
      <c r="B29" s="61">
        <f>B28/$C$13-1</f>
        <v>-0.6802500726</v>
      </c>
    </row>
    <row r="31">
      <c r="A31" s="4" t="inlineStr">
        <is>
          <t>O QUE ISSO SIGNIFICA PARA A META DE 700 MARMITAS</t>
        </is>
      </c>
    </row>
    <row r="32">
      <c r="A32" s="8" t="inlineStr">
        <is>
          <t>CENÁRIO</t>
        </is>
      </c>
      <c r="B32" s="8" t="inlineStr">
        <is>
          <t>CPA</t>
        </is>
      </c>
      <c r="C32" s="8" t="inlineStr">
        <is>
          <t>VENDAS/MÊS A R$7.950</t>
        </is>
      </c>
    </row>
    <row r="33">
      <c r="A33" s="9" t="inlineStr">
        <is>
          <t>Hoje</t>
        </is>
      </c>
      <c r="B33" s="49">
        <f>C13</f>
        <v>34.15440367</v>
      </c>
      <c r="C33" s="62">
        <f>7950/B33</f>
        <v>232.7664707</v>
      </c>
    </row>
    <row r="34">
      <c r="A34" s="9" t="inlineStr">
        <is>
          <t>Só corrigindo Connect Rate</t>
        </is>
      </c>
      <c r="B34" s="49">
        <f>C16</f>
        <v>18.01442278</v>
      </c>
      <c r="C34" s="62">
        <f>7950/B34</f>
        <v>441.3130576</v>
      </c>
    </row>
    <row r="35">
      <c r="A35" s="9" t="inlineStr">
        <is>
          <t>Connect Rate + oferta</t>
        </is>
      </c>
      <c r="B35" s="49">
        <f>B28</f>
        <v>10.9208681</v>
      </c>
      <c r="C35" s="62">
        <f>7950/B35</f>
        <v>727.9641078</v>
      </c>
    </row>
    <row r="37">
      <c r="A37" s="63" t="inlineStr">
        <is>
          <t>⚠ RESSALVA METODOLÓGICA</t>
        </is>
      </c>
    </row>
    <row r="38">
      <c r="A38" s="23" t="inlineStr">
        <is>
          <t>Esta projeção assume que os cliques hoje perdidos antes da página converteriam na mesma taxa dos que chegam.</t>
        </is>
      </c>
    </row>
    <row r="39">
      <c r="A39" s="23" t="inlineStr">
        <is>
          <t>Parte deles pode ser clique acidental, de menor intenção — nesse caso o ganho real fica abaixo do projetado.</t>
        </is>
      </c>
    </row>
    <row r="40">
      <c r="A40" s="23" t="inlineStr">
        <is>
          <t>Trate os números como ORDEM DE GRANDEZA da oportunidade, não como promessa. O teste é corrigir a página e medir.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2026-08-24T17:51:01Z</dcterms:created>
  <dcterms:modified xsi:type="dcterms:W3CDTF">2026-08-24T17:51:01Z</dcterms:modified>
</cp:coreProperties>
</file>