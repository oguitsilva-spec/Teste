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ncamentos" sheetId="2" state="visible" r:id="rId2"/>
    <sheet name="Orcamento" sheetId="3" state="visible" r:id="rId3"/>
    <sheet name="Reserva" sheetId="4" state="visible" r:id="rId4"/>
    <sheet name="Dividas" sheetId="5" state="visible" r:id="rId5"/>
    <sheet name="Metas" sheetId="6" state="visible" r:id="rId6"/>
    <sheet name="Aux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0.0%"/>
    <numFmt numFmtId="166" formatCode="yyyy-mm-dd"/>
    <numFmt numFmtId="167" formatCode="DD/MM/YYYY"/>
    <numFmt numFmtId="168" formatCode="0.0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b val="1"/>
      <color rgb="001E8449"/>
      <sz val="18"/>
    </font>
    <font>
      <name val="Calibri"/>
      <b val="1"/>
      <color rgb="00C0392B"/>
      <sz val="18"/>
    </font>
    <font>
      <name val="Calibri"/>
      <b val="1"/>
      <color rgb="001A5276"/>
      <sz val="18"/>
    </font>
    <font>
      <name val="Calibri"/>
      <b val="1"/>
      <color rgb="006C3483"/>
      <sz val="22"/>
    </font>
    <font>
      <name val="Calibri"/>
      <b val="1"/>
      <color rgb="006C3483"/>
      <sz val="18"/>
    </font>
    <font>
      <name val="Calibri"/>
      <b val="1"/>
      <color rgb="006C3483"/>
      <sz val="12"/>
    </font>
    <font>
      <name val="Calibri"/>
      <b val="1"/>
      <color rgb="00FFFFFF"/>
      <sz val="11"/>
    </font>
    <font>
      <name val="Calibri"/>
      <color rgb="001A5276"/>
      <sz val="9"/>
    </font>
    <font>
      <name val="Calibri"/>
      <b val="1"/>
      <color rgb="001E8449"/>
      <sz val="13"/>
    </font>
    <font>
      <name val="Calibri"/>
      <b val="1"/>
      <color rgb="00D35400"/>
      <sz val="10"/>
    </font>
    <font>
      <name val="Calibri"/>
      <b val="1"/>
      <color rgb="001A5276"/>
      <sz val="10"/>
    </font>
    <font>
      <name val="Calibri"/>
      <i val="1"/>
      <color rgb="00D3540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1C2833"/>
      <sz val="10"/>
    </font>
    <font>
      <name val="Calibri"/>
      <b val="1"/>
      <color rgb="001E8449"/>
      <sz val="10"/>
    </font>
    <font>
      <name val="Calibri"/>
      <b val="1"/>
      <color rgb="00C0392B"/>
      <sz val="10"/>
    </font>
    <font>
      <name val="Calibri"/>
      <b val="1"/>
      <color rgb="00FFFFFF"/>
      <sz val="16"/>
    </font>
    <font>
      <name val="Calibri"/>
      <b val="1"/>
      <color rgb="001E8449"/>
      <sz val="11"/>
    </font>
    <font>
      <name val="Calibri"/>
      <b val="1"/>
      <color rgb="001A5276"/>
      <sz val="11"/>
    </font>
    <font>
      <name val="Calibri"/>
      <b val="1"/>
      <color rgb="001C2833"/>
      <sz val="10"/>
    </font>
    <font>
      <name val="Calibri"/>
      <sz val="10"/>
    </font>
    <font>
      <name val="Calibri"/>
      <i val="1"/>
      <color rgb="006C3483"/>
      <sz val="10"/>
    </font>
    <font>
      <name val="Calibri"/>
      <b val="1"/>
      <color rgb="001C2833"/>
      <sz val="12"/>
    </font>
    <font>
      <name val="Calibri"/>
      <b val="1"/>
      <color rgb="00FFFFFF"/>
      <sz val="12"/>
    </font>
    <font>
      <name val="Calibri"/>
      <b val="1"/>
      <color rgb="00D35400"/>
      <sz val="12"/>
    </font>
    <font>
      <name val="Calibri"/>
      <b val="1"/>
      <color rgb="00C0392B"/>
      <sz val="12"/>
    </font>
    <font>
      <name val="Calibri"/>
      <b val="1"/>
      <color rgb="001E8449"/>
      <sz val="12"/>
    </font>
    <font>
      <name val="Calibri"/>
      <b val="1"/>
      <color rgb="001A5276"/>
      <sz val="12"/>
    </font>
  </fonts>
  <fills count="16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2980B9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C0392B"/>
      </patternFill>
    </fill>
    <fill>
      <patternFill patternType="solid">
        <fgColor rgb="00FADBD8"/>
      </patternFill>
    </fill>
    <fill>
      <patternFill patternType="solid">
        <fgColor rgb="00D6EAF8"/>
      </patternFill>
    </fill>
    <fill>
      <patternFill patternType="solid">
        <fgColor rgb="006C3483"/>
      </patternFill>
    </fill>
    <fill>
      <patternFill patternType="solid">
        <fgColor rgb="00E8DAEF"/>
      </patternFill>
    </fill>
    <fill>
      <patternFill patternType="solid">
        <fgColor rgb="00F2F3F4"/>
      </patternFill>
    </fill>
    <fill>
      <patternFill patternType="solid">
        <fgColor rgb="00FDEBD0"/>
      </patternFill>
    </fill>
    <fill>
      <patternFill patternType="solid">
        <fgColor rgb="00FEF9E7"/>
      </patternFill>
    </fill>
    <fill>
      <patternFill patternType="solid">
        <fgColor rgb="00FFFFFF"/>
      </patternFill>
    </fill>
    <fill>
      <patternFill patternType="solid">
        <fgColor rgb="00D35400"/>
      </patternFill>
    </fill>
  </fills>
  <borders count="9">
    <border>
      <left/>
      <right/>
      <top/>
      <bottom/>
      <diagonal/>
    </border>
    <border>
      <left style="medium">
        <color rgb="001E8449"/>
      </left>
      <right style="medium">
        <color rgb="001E8449"/>
      </right>
      <top style="medium">
        <color rgb="001E8449"/>
      </top>
      <bottom style="medium">
        <color rgb="001E8449"/>
      </bottom>
    </border>
    <border>
      <left style="medium">
        <color rgb="00C0392B"/>
      </left>
      <right style="medium">
        <color rgb="00C0392B"/>
      </right>
      <top style="medium">
        <color rgb="00C0392B"/>
      </top>
      <bottom style="medium">
        <color rgb="00C0392B"/>
      </bottom>
    </border>
    <border>
      <left style="medium">
        <color rgb="002980B9"/>
      </left>
      <right style="medium">
        <color rgb="002980B9"/>
      </right>
      <top style="medium">
        <color rgb="002980B9"/>
      </top>
      <bottom style="medium">
        <color rgb="002980B9"/>
      </bottom>
    </border>
    <border>
      <left style="medium">
        <color rgb="006C3483"/>
      </left>
      <right style="medium">
        <color rgb="006C3483"/>
      </right>
      <top style="medium">
        <color rgb="006C3483"/>
      </top>
      <bottom style="medium">
        <color rgb="006C3483"/>
      </bottom>
    </border>
    <border>
      <left style="medium">
        <color rgb="00D35400"/>
      </left>
      <right style="medium">
        <color rgb="00D35400"/>
      </right>
      <top style="medium">
        <color rgb="00D35400"/>
      </top>
      <bottom style="medium">
        <color rgb="00D35400"/>
      </bottom>
    </border>
    <border>
      <left style="medium">
        <color rgb="001A5276"/>
      </left>
      <right style="medium">
        <color rgb="001A5276"/>
      </right>
      <top style="medium">
        <color rgb="001A5276"/>
      </top>
      <bottom style="medium">
        <color rgb="001A527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164" fontId="6" fillId="8" borderId="3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165" fontId="7" fillId="10" borderId="4" applyAlignment="1" pivotButton="0" quotePrefix="0" xfId="0">
      <alignment horizontal="center" vertical="center"/>
    </xf>
    <xf numFmtId="164" fontId="8" fillId="10" borderId="4" applyAlignment="1" pivotButton="0" quotePrefix="0" xfId="0">
      <alignment horizontal="center" vertical="center"/>
    </xf>
    <xf numFmtId="0" fontId="9" fillId="10" borderId="4" applyAlignment="1" pivotButton="0" quotePrefix="0" xfId="0">
      <alignment horizontal="center" vertical="center"/>
    </xf>
    <xf numFmtId="0" fontId="0" fillId="2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13" fillId="12" borderId="5" applyAlignment="1" pivotButton="0" quotePrefix="0" xfId="0">
      <alignment horizontal="center" vertical="center"/>
    </xf>
    <xf numFmtId="0" fontId="0" fillId="11" borderId="0" pivotButton="0" quotePrefix="0" xfId="0"/>
    <xf numFmtId="0" fontId="14" fillId="8" borderId="6" applyAlignment="1" pivotButton="0" quotePrefix="0" xfId="0">
      <alignment horizontal="center" vertical="center"/>
    </xf>
    <xf numFmtId="0" fontId="15" fillId="1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7" fillId="2" borderId="7" applyAlignment="1" pivotButton="0" quotePrefix="0" xfId="0">
      <alignment horizontal="center" vertical="center"/>
    </xf>
    <xf numFmtId="167" fontId="18" fillId="14" borderId="8" applyAlignment="1" pivotButton="0" quotePrefix="0" xfId="0">
      <alignment horizontal="center" vertical="center"/>
    </xf>
    <xf numFmtId="0" fontId="18" fillId="14" borderId="8" applyAlignment="1" pivotButton="0" quotePrefix="0" xfId="0">
      <alignment horizontal="left" vertical="center"/>
    </xf>
    <xf numFmtId="0" fontId="18" fillId="14" borderId="8" applyAlignment="1" pivotButton="0" quotePrefix="0" xfId="0">
      <alignment horizontal="center" vertical="center"/>
    </xf>
    <xf numFmtId="164" fontId="18" fillId="14" borderId="8" applyAlignment="1" pivotButton="0" quotePrefix="0" xfId="0">
      <alignment horizontal="center" vertical="center"/>
    </xf>
    <xf numFmtId="0" fontId="19" fillId="5" borderId="8" applyAlignment="1" pivotButton="0" quotePrefix="0" xfId="0">
      <alignment horizontal="center" vertical="center"/>
    </xf>
    <xf numFmtId="167" fontId="18" fillId="11" borderId="8" applyAlignment="1" pivotButton="0" quotePrefix="0" xfId="0">
      <alignment horizontal="center" vertical="center"/>
    </xf>
    <xf numFmtId="0" fontId="18" fillId="11" borderId="8" applyAlignment="1" pivotButton="0" quotePrefix="0" xfId="0">
      <alignment horizontal="left" vertical="center"/>
    </xf>
    <xf numFmtId="0" fontId="18" fillId="11" borderId="8" applyAlignment="1" pivotButton="0" quotePrefix="0" xfId="0">
      <alignment horizontal="center" vertical="center"/>
    </xf>
    <xf numFmtId="164" fontId="18" fillId="11" borderId="8" applyAlignment="1" pivotButton="0" quotePrefix="0" xfId="0">
      <alignment horizontal="center" vertical="center"/>
    </xf>
    <xf numFmtId="0" fontId="20" fillId="7" borderId="8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5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17" fillId="4" borderId="7" applyAlignment="1" pivotButton="0" quotePrefix="0" xfId="0">
      <alignment horizontal="center" vertical="center"/>
    </xf>
    <xf numFmtId="0" fontId="24" fillId="11" borderId="8" applyAlignment="1" pivotButton="0" quotePrefix="0" xfId="0">
      <alignment horizontal="left" vertical="center"/>
    </xf>
    <xf numFmtId="164" fontId="25" fillId="11" borderId="8" applyAlignment="1" pivotButton="0" quotePrefix="0" xfId="0">
      <alignment horizontal="center" vertical="center"/>
    </xf>
    <xf numFmtId="9" fontId="25" fillId="11" borderId="8" applyAlignment="1" pivotButton="0" quotePrefix="0" xfId="0">
      <alignment horizontal="center" vertical="center"/>
    </xf>
    <xf numFmtId="0" fontId="25" fillId="11" borderId="8" applyAlignment="1" pivotButton="0" quotePrefix="0" xfId="0">
      <alignment horizontal="center" vertical="center"/>
    </xf>
    <xf numFmtId="0" fontId="24" fillId="14" borderId="8" applyAlignment="1" pivotButton="0" quotePrefix="0" xfId="0">
      <alignment horizontal="left" vertical="center"/>
    </xf>
    <xf numFmtId="164" fontId="25" fillId="14" borderId="8" applyAlignment="1" pivotButton="0" quotePrefix="0" xfId="0">
      <alignment horizontal="center" vertical="center"/>
    </xf>
    <xf numFmtId="9" fontId="25" fillId="14" borderId="8" applyAlignment="1" pivotButton="0" quotePrefix="0" xfId="0">
      <alignment horizontal="center" vertical="center"/>
    </xf>
    <xf numFmtId="0" fontId="25" fillId="14" borderId="8" applyAlignment="1" pivotButton="0" quotePrefix="0" xfId="0">
      <alignment horizontal="center" vertical="center"/>
    </xf>
    <xf numFmtId="164" fontId="17" fillId="2" borderId="7" applyAlignment="1" pivotButton="0" quotePrefix="0" xfId="0">
      <alignment horizontal="center" vertical="center"/>
    </xf>
    <xf numFmtId="9" fontId="17" fillId="2" borderId="7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center"/>
    </xf>
    <xf numFmtId="0" fontId="10" fillId="4" borderId="7" applyAlignment="1" pivotButton="0" quotePrefix="0" xfId="0">
      <alignment horizontal="left" vertical="center"/>
    </xf>
    <xf numFmtId="164" fontId="10" fillId="4" borderId="7" applyAlignment="1" pivotButton="0" quotePrefix="0" xfId="0">
      <alignment horizontal="center" vertical="center"/>
    </xf>
    <xf numFmtId="0" fontId="10" fillId="4" borderId="7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 wrapText="1"/>
    </xf>
    <xf numFmtId="0" fontId="24" fillId="11" borderId="8" applyAlignment="1" pivotButton="0" quotePrefix="0" xfId="0">
      <alignment horizontal="left" vertical="center" indent="1"/>
    </xf>
    <xf numFmtId="164" fontId="27" fillId="10" borderId="8" applyAlignment="1" pivotButton="0" quotePrefix="0" xfId="0">
      <alignment horizontal="center" vertical="center"/>
    </xf>
    <xf numFmtId="1" fontId="27" fillId="10" borderId="8" applyAlignment="1" pivotButton="0" quotePrefix="0" xfId="0">
      <alignment horizontal="center" vertical="center"/>
    </xf>
    <xf numFmtId="164" fontId="28" fillId="9" borderId="8" applyAlignment="1" pivotButton="0" quotePrefix="0" xfId="0">
      <alignment horizontal="center" vertical="center"/>
    </xf>
    <xf numFmtId="0" fontId="13" fillId="13" borderId="8" applyAlignment="1" pivotButton="0" quotePrefix="0" xfId="0">
      <alignment horizontal="left" vertical="center" indent="1"/>
    </xf>
    <xf numFmtId="164" fontId="29" fillId="13" borderId="4" applyAlignment="1" pivotButton="0" quotePrefix="0" xfId="0">
      <alignment horizontal="center" vertical="center"/>
    </xf>
    <xf numFmtId="164" fontId="30" fillId="7" borderId="8" applyAlignment="1" pivotButton="0" quotePrefix="0" xfId="0">
      <alignment horizontal="center" vertical="center"/>
    </xf>
    <xf numFmtId="165" fontId="31" fillId="5" borderId="8" applyAlignment="1" pivotButton="0" quotePrefix="0" xfId="0">
      <alignment horizontal="center" vertical="center"/>
    </xf>
    <xf numFmtId="168" fontId="32" fillId="8" borderId="8" applyAlignment="1" pivotButton="0" quotePrefix="0" xfId="0">
      <alignment horizontal="center" vertical="center"/>
    </xf>
    <xf numFmtId="49" fontId="32" fillId="8" borderId="8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 wrapText="1"/>
    </xf>
    <xf numFmtId="0" fontId="25" fillId="7" borderId="8" applyAlignment="1" pivotButton="0" quotePrefix="0" xfId="0">
      <alignment horizontal="center" vertical="center"/>
    </xf>
    <xf numFmtId="164" fontId="25" fillId="7" borderId="8" applyAlignment="1" pivotButton="0" quotePrefix="0" xfId="0">
      <alignment horizontal="center" vertical="center"/>
    </xf>
    <xf numFmtId="0" fontId="0" fillId="11" borderId="8" pivotButton="0" quotePrefix="0" xfId="0"/>
    <xf numFmtId="164" fontId="0" fillId="11" borderId="8" pivotButton="0" quotePrefix="0" xfId="0"/>
    <xf numFmtId="0" fontId="0" fillId="14" borderId="8" pivotButton="0" quotePrefix="0" xfId="0"/>
    <xf numFmtId="164" fontId="0" fillId="14" borderId="8" pivotButton="0" quotePrefix="0" xfId="0"/>
    <xf numFmtId="0" fontId="17" fillId="2" borderId="0" applyAlignment="1" pivotButton="0" quotePrefix="0" xfId="0">
      <alignment horizontal="center" vertical="center"/>
    </xf>
    <xf numFmtId="164" fontId="17" fillId="2" borderId="0" applyAlignment="1" pivotButton="0" quotePrefix="0" xfId="0">
      <alignment horizontal="center" vertical="center"/>
    </xf>
    <xf numFmtId="0" fontId="21" fillId="15" borderId="0" applyAlignment="1" pivotButton="0" quotePrefix="0" xfId="0">
      <alignment horizontal="center" vertical="center"/>
    </xf>
    <xf numFmtId="0" fontId="17" fillId="15" borderId="7" applyAlignment="1" pivotButton="0" quotePrefix="0" xfId="0">
      <alignment horizontal="center" vertical="center"/>
    </xf>
    <xf numFmtId="0" fontId="24" fillId="12" borderId="8" applyAlignment="1" pivotButton="0" quotePrefix="0" xfId="0">
      <alignment horizontal="left" vertical="center"/>
    </xf>
    <xf numFmtId="164" fontId="18" fillId="12" borderId="8" applyAlignment="1" pivotButton="0" quotePrefix="0" xfId="0">
      <alignment horizontal="center" vertical="center"/>
    </xf>
    <xf numFmtId="0" fontId="18" fillId="12" borderId="8" applyAlignment="1" pivotButton="0" quotePrefix="0" xfId="0">
      <alignment horizontal="center" vertical="center"/>
    </xf>
    <xf numFmtId="9" fontId="18" fillId="12" borderId="8" applyAlignment="1" pivotButton="0" quotePrefix="0" xfId="0">
      <alignment horizontal="center" vertical="center"/>
    </xf>
    <xf numFmtId="9" fontId="18" fillId="14" borderId="8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Calibri"/>
        <b val="1"/>
        <color rgb="001E8449"/>
      </font>
      <fill>
        <patternFill patternType="solid">
          <fgColor rgb="00D5F5E3"/>
        </patternFill>
      </fill>
    </dxf>
    <dxf>
      <font>
        <name val="Calibri"/>
        <b val="1"/>
        <color rgb="00C0392B"/>
      </font>
      <fill>
        <patternFill patternType="solid">
          <fgColor rgb="00FADBD8"/>
        </patternFill>
      </fill>
    </dxf>
    <dxf>
      <font>
        <name val="Calibri"/>
        <b val="1"/>
        <color rgb="00FFFFFF"/>
      </font>
      <fill>
        <patternFill patternType="solid">
          <fgColor rgb="00C0392B"/>
        </patternFill>
      </fill>
    </dxf>
    <dxf>
      <font>
        <name val="Calibri"/>
        <b val="1"/>
        <color rgb="001C2833"/>
      </font>
      <fill>
        <patternFill patternType="solid">
          <fgColor rgb="00F9E79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5276"/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.5" customWidth="1" min="8" max="8"/>
  </cols>
  <sheetData>
    <row r="1" ht="8" customHeight="1"/>
    <row r="2" ht="55" customHeight="1">
      <c r="B2" s="1" t="inlineStr">
        <is>
          <t>CONTROLE FINANCEIRO FAMILIAR</t>
        </is>
      </c>
    </row>
    <row r="3" ht="8" customHeight="1">
      <c r="B3" s="2" t="inlineStr">
        <is>
          <t>Atualizado em: 21/06/2026</t>
        </is>
      </c>
    </row>
    <row r="4" ht="22" customHeight="1">
      <c r="B4" s="3" t="inlineStr">
        <is>
          <t>ENTRADAS DO MES</t>
        </is>
      </c>
      <c r="D4" s="4" t="inlineStr">
        <is>
          <t>SAIDAS DO MES</t>
        </is>
      </c>
      <c r="F4" s="5" t="inlineStr">
        <is>
          <t>ECONOMIA DO MES</t>
        </is>
      </c>
    </row>
    <row r="5" ht="60" customHeight="1">
      <c r="B5" s="6">
        <f>SUMPRODUCT((MONTH(Lancamentos!$A$3:$A$3000)=MONTH(TODAY()))*(YEAR(Lancamentos!$A$3:$A$3000)=YEAR(TODAY()))*(Lancamentos!$H$3:$H$3000="Receita")*(Lancamentos!$G$3:$G$3000))</f>
        <v/>
      </c>
      <c r="D5" s="7">
        <f>SUMPRODUCT((MONTH(Lancamentos!$A$3:$A$3000)=MONTH(TODAY()))*(YEAR(Lancamentos!$A$3:$A$3000)=YEAR(TODAY()))*(Lancamentos!$H$3:$H$3000="Despesa")*(Lancamentos!$G$3:$G$3000))</f>
        <v/>
      </c>
      <c r="F5" s="8">
        <f>B5-D5</f>
        <v/>
      </c>
    </row>
    <row r="6" ht="22" customHeight="1">
      <c r="B6" s="9" t="inlineStr">
        <is>
          <t>TAXA DE POUPANCA</t>
        </is>
      </c>
      <c r="D6" s="9" t="inlineStr">
        <is>
          <t>RESERVA ACUMULADA</t>
        </is>
      </c>
      <c r="F6" s="9" t="inlineStr">
        <is>
          <t>SAUDE FINANCEIRA</t>
        </is>
      </c>
    </row>
    <row r="7" ht="55" customHeight="1">
      <c r="B7" s="10">
        <f>IF(B5=0,0,F5/B5)</f>
        <v/>
      </c>
      <c r="D7" s="11">
        <f>Reserva!B7</f>
        <v/>
      </c>
      <c r="F7" s="12">
        <f>IF(B5=0,"---",IF(F5/B5&gt;=0.2,"OTIMO - Acima de 20%",IF(F5/B5&gt;=0.10,"BOM - Entre 10% e 20%",IF(F5/B5&gt;=0,"ATENCAO - Abaixo de 10%","CRITICO - Gastando mais do que ganha"))))</f>
        <v/>
      </c>
    </row>
    <row r="8" ht="22" customHeight="1">
      <c r="B8" s="13" t="n"/>
    </row>
    <row r="9" ht="55" customHeight="1">
      <c r="B9" s="14" t="inlineStr">
        <is>
          <t>PROGRESSO DA RESERVA DE EMERGENCIA</t>
        </is>
      </c>
    </row>
    <row r="10" ht="12" customHeight="1">
      <c r="B10" s="15" t="inlineStr">
        <is>
          <t>Valor acumulado:</t>
        </is>
      </c>
    </row>
    <row r="11" ht="28" customHeight="1">
      <c r="B11" s="16">
        <f>IFERROR("R$ "&amp;TEXT(Reserva!B7,"#.##0,00")&amp;"  de  R$ "&amp;TEXT(Reserva!B6,"#.##0,00")&amp;"     |     "&amp;TEXT(Reserva!B9,"0.0%")&amp;" concluido  |  "&amp; TEXT(Reserva!B10,"0.0")&amp;" meses protegidos","---")</f>
        <v/>
      </c>
    </row>
    <row r="12" ht="12" customHeight="1">
      <c r="B12" s="13" t="n"/>
    </row>
    <row r="13" ht="28" customHeight="1">
      <c r="B13" s="17" t="inlineStr">
        <is>
          <t>FINANCIAMENTO CARRO</t>
        </is>
      </c>
      <c r="E13" s="17">
        <f>Dividas!C4&amp;"  |  R$ "&amp;TEXT(Dividas!E4,"#.##0,00")&amp;"/mes"</f>
        <v/>
      </c>
    </row>
    <row r="14" ht="12" customHeight="1">
      <c r="B14" s="18" t="n"/>
    </row>
    <row r="15" ht="22" customHeight="1">
      <c r="B15" s="19" t="inlineStr">
        <is>
          <t>META: IMOVEL PROPRIO</t>
        </is>
      </c>
      <c r="E15" s="19">
        <f>IFERROR("R$ "&amp;TEXT(Metas!E5,"#.##0,00")&amp;" acumulado  |  Prazo: "&amp;Metas!D5,"Defina o valor")</f>
        <v/>
      </c>
    </row>
    <row r="16" ht="8" customHeight="1">
      <c r="B16" s="20" t="inlineStr">
        <is>
          <t xml:space="preserve">  Registre gastos na aba LANCAMENTOS toda semana. Atualize a Reserva quando fizer um deposito.</t>
        </is>
      </c>
    </row>
  </sheetData>
  <mergeCells count="25">
    <mergeCell ref="B2:G2"/>
    <mergeCell ref="F4:G4"/>
    <mergeCell ref="E13:G13"/>
    <mergeCell ref="B7:C7"/>
    <mergeCell ref="B14:G14"/>
    <mergeCell ref="B8:G8"/>
    <mergeCell ref="B13:D13"/>
    <mergeCell ref="F6:G6"/>
    <mergeCell ref="E15:G15"/>
    <mergeCell ref="F7:G7"/>
    <mergeCell ref="D6:E6"/>
    <mergeCell ref="B10:G10"/>
    <mergeCell ref="F5:G5"/>
    <mergeCell ref="B9:G9"/>
    <mergeCell ref="B15:D15"/>
    <mergeCell ref="D7:E7"/>
    <mergeCell ref="D4:E4"/>
    <mergeCell ref="B3:G3"/>
    <mergeCell ref="B16:G16"/>
    <mergeCell ref="B6:C6"/>
    <mergeCell ref="B5:C5"/>
    <mergeCell ref="D5:E5"/>
    <mergeCell ref="B12:G12"/>
    <mergeCell ref="B4:C4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H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3" customWidth="1" min="5" max="5"/>
    <col width="18" customWidth="1" min="6" max="6"/>
    <col width="15" customWidth="1" min="7" max="7"/>
    <col width="12" customWidth="1" min="8" max="8"/>
  </cols>
  <sheetData>
    <row r="1" ht="14" customHeight="1">
      <c r="A1" s="21" t="inlineStr">
        <is>
          <t>LANCAMENTOS — Registre aqui toda entrada e saida de dinheiro</t>
        </is>
      </c>
    </row>
    <row r="2" ht="36" customHeight="1">
      <c r="A2" s="22" t="inlineStr">
        <is>
          <t>Data</t>
        </is>
      </c>
      <c r="B2" s="22" t="inlineStr">
        <is>
          <t>Descricao</t>
        </is>
      </c>
      <c r="C2" s="22" t="inlineStr">
        <is>
          <t>Categoria</t>
        </is>
      </c>
      <c r="D2" s="22" t="inlineStr">
        <is>
          <t>Subcategoria</t>
        </is>
      </c>
      <c r="E2" s="22" t="inlineStr">
        <is>
          <t>Responsavel</t>
        </is>
      </c>
      <c r="F2" s="22" t="inlineStr">
        <is>
          <t>Pagamento</t>
        </is>
      </c>
      <c r="G2" s="22" t="inlineStr">
        <is>
          <t>Valor (R$)</t>
        </is>
      </c>
      <c r="H2" s="22" t="inlineStr">
        <is>
          <t>Tipo</t>
        </is>
      </c>
    </row>
    <row r="3" ht="22" customHeight="1">
      <c r="A3" s="23" t="n">
        <v>46174</v>
      </c>
      <c r="B3" s="24" t="inlineStr">
        <is>
          <t>Salario - Ele</t>
        </is>
      </c>
      <c r="C3" s="25" t="inlineStr">
        <is>
          <t>Salario</t>
        </is>
      </c>
      <c r="D3" s="25" t="inlineStr">
        <is>
          <t>Salario Ele</t>
        </is>
      </c>
      <c r="E3" s="25" t="inlineStr">
        <is>
          <t>Ele</t>
        </is>
      </c>
      <c r="F3" s="25" t="inlineStr">
        <is>
          <t>TED DOC</t>
        </is>
      </c>
      <c r="G3" s="26" t="n">
        <v>3600</v>
      </c>
      <c r="H3" s="27" t="inlineStr">
        <is>
          <t>Receita</t>
        </is>
      </c>
    </row>
    <row r="4" ht="22" customHeight="1">
      <c r="A4" s="28" t="n">
        <v>46174</v>
      </c>
      <c r="B4" s="29" t="inlineStr">
        <is>
          <t>Salario - Ela</t>
        </is>
      </c>
      <c r="C4" s="30" t="inlineStr">
        <is>
          <t>Salario</t>
        </is>
      </c>
      <c r="D4" s="30" t="inlineStr">
        <is>
          <t>Salario Ela</t>
        </is>
      </c>
      <c r="E4" s="30" t="inlineStr">
        <is>
          <t>Ela</t>
        </is>
      </c>
      <c r="F4" s="30" t="inlineStr">
        <is>
          <t>TED DOC</t>
        </is>
      </c>
      <c r="G4" s="31" t="n">
        <v>2500</v>
      </c>
      <c r="H4" s="27" t="inlineStr">
        <is>
          <t>Receita</t>
        </is>
      </c>
    </row>
    <row r="5" ht="22" customHeight="1">
      <c r="A5" s="23" t="n">
        <v>46174</v>
      </c>
      <c r="B5" s="24" t="inlineStr">
        <is>
          <t>Renda Extra</t>
        </is>
      </c>
      <c r="C5" s="25" t="inlineStr">
        <is>
          <t>Renda Extra</t>
        </is>
      </c>
      <c r="D5" s="25" t="inlineStr">
        <is>
          <t>Extra</t>
        </is>
      </c>
      <c r="E5" s="25" t="inlineStr">
        <is>
          <t>Casal</t>
        </is>
      </c>
      <c r="F5" s="25" t="inlineStr">
        <is>
          <t>PIX</t>
        </is>
      </c>
      <c r="G5" s="26" t="n">
        <v>500</v>
      </c>
      <c r="H5" s="27" t="inlineStr">
        <is>
          <t>Receita</t>
        </is>
      </c>
    </row>
    <row r="6" ht="22" customHeight="1">
      <c r="A6" s="28" t="n">
        <v>46174</v>
      </c>
      <c r="B6" s="29" t="inlineStr">
        <is>
          <t>Condominio</t>
        </is>
      </c>
      <c r="C6" s="30" t="inlineStr">
        <is>
          <t>Moradia</t>
        </is>
      </c>
      <c r="D6" s="30" t="inlineStr">
        <is>
          <t>Condominio</t>
        </is>
      </c>
      <c r="E6" s="30" t="inlineStr">
        <is>
          <t>Casal</t>
        </is>
      </c>
      <c r="F6" s="30" t="inlineStr">
        <is>
          <t>Boleto</t>
        </is>
      </c>
      <c r="G6" s="31" t="n">
        <v>426.15</v>
      </c>
      <c r="H6" s="32" t="inlineStr">
        <is>
          <t>Despesa</t>
        </is>
      </c>
    </row>
    <row r="7" ht="22" customHeight="1">
      <c r="A7" s="23" t="n">
        <v>46174</v>
      </c>
      <c r="B7" s="24" t="inlineStr">
        <is>
          <t>Energia Eletrica</t>
        </is>
      </c>
      <c r="C7" s="25" t="inlineStr">
        <is>
          <t>Moradia</t>
        </is>
      </c>
      <c r="D7" s="25" t="inlineStr">
        <is>
          <t>Energia</t>
        </is>
      </c>
      <c r="E7" s="25" t="inlineStr">
        <is>
          <t>Casal</t>
        </is>
      </c>
      <c r="F7" s="25" t="inlineStr">
        <is>
          <t>Debito</t>
        </is>
      </c>
      <c r="G7" s="26" t="n">
        <v>220</v>
      </c>
      <c r="H7" s="32" t="inlineStr">
        <is>
          <t>Despesa</t>
        </is>
      </c>
    </row>
    <row r="8" ht="22" customHeight="1">
      <c r="A8" s="28" t="n">
        <v>46174</v>
      </c>
      <c r="B8" s="29" t="inlineStr">
        <is>
          <t>Internet</t>
        </is>
      </c>
      <c r="C8" s="30" t="inlineStr">
        <is>
          <t>Comunicacao</t>
        </is>
      </c>
      <c r="D8" s="30" t="inlineStr">
        <is>
          <t>Internet</t>
        </is>
      </c>
      <c r="E8" s="30" t="inlineStr">
        <is>
          <t>Casal</t>
        </is>
      </c>
      <c r="F8" s="30" t="inlineStr">
        <is>
          <t>Debito</t>
        </is>
      </c>
      <c r="G8" s="31" t="n">
        <v>124.74</v>
      </c>
      <c r="H8" s="32" t="inlineStr">
        <is>
          <t>Despesa</t>
        </is>
      </c>
    </row>
    <row r="9" ht="22" customHeight="1">
      <c r="A9" s="23" t="n">
        <v>46174</v>
      </c>
      <c r="B9" s="24" t="inlineStr">
        <is>
          <t>Streaming (Netflix etc)</t>
        </is>
      </c>
      <c r="C9" s="25" t="inlineStr">
        <is>
          <t>Lazer</t>
        </is>
      </c>
      <c r="D9" s="25" t="inlineStr">
        <is>
          <t>Streaming</t>
        </is>
      </c>
      <c r="E9" s="25" t="inlineStr">
        <is>
          <t>Casal</t>
        </is>
      </c>
      <c r="F9" s="25" t="inlineStr">
        <is>
          <t>Debito</t>
        </is>
      </c>
      <c r="G9" s="26" t="n">
        <v>40</v>
      </c>
      <c r="H9" s="32" t="inlineStr">
        <is>
          <t>Despesa</t>
        </is>
      </c>
    </row>
    <row r="10" ht="22" customHeight="1">
      <c r="A10" s="28" t="n">
        <v>46174</v>
      </c>
      <c r="B10" s="29" t="inlineStr">
        <is>
          <t>Financiamento Carro</t>
        </is>
      </c>
      <c r="C10" s="30" t="inlineStr">
        <is>
          <t>Transporte</t>
        </is>
      </c>
      <c r="D10" s="30" t="inlineStr">
        <is>
          <t>Financiamento Carro</t>
        </is>
      </c>
      <c r="E10" s="30" t="inlineStr">
        <is>
          <t>Casal</t>
        </is>
      </c>
      <c r="F10" s="30" t="inlineStr">
        <is>
          <t>Debito</t>
        </is>
      </c>
      <c r="G10" s="31" t="n">
        <v>598</v>
      </c>
      <c r="H10" s="32" t="inlineStr">
        <is>
          <t>Despesa</t>
        </is>
      </c>
    </row>
    <row r="11" ht="22" customHeight="1">
      <c r="A11" s="23" t="n">
        <v>46174</v>
      </c>
      <c r="B11" s="24" t="inlineStr">
        <is>
          <t>Pos-Graduacao</t>
        </is>
      </c>
      <c r="C11" s="25" t="inlineStr">
        <is>
          <t>Educacao</t>
        </is>
      </c>
      <c r="D11" s="25" t="inlineStr">
        <is>
          <t>Pos-Graduacao</t>
        </is>
      </c>
      <c r="E11" s="25" t="inlineStr">
        <is>
          <t>Ele</t>
        </is>
      </c>
      <c r="F11" s="25" t="inlineStr">
        <is>
          <t>Boleto</t>
        </is>
      </c>
      <c r="G11" s="26" t="n">
        <v>115.78</v>
      </c>
      <c r="H11" s="32" t="inlineStr">
        <is>
          <t>Despesa</t>
        </is>
      </c>
    </row>
    <row r="12" ht="22" customHeight="1">
      <c r="A12" s="28" t="n">
        <v>46174</v>
      </c>
      <c r="B12" s="29" t="inlineStr">
        <is>
          <t>MEI</t>
        </is>
      </c>
      <c r="C12" s="30" t="inlineStr">
        <is>
          <t>MEI Negocios</t>
        </is>
      </c>
      <c r="D12" s="30" t="inlineStr">
        <is>
          <t>MEI</t>
        </is>
      </c>
      <c r="E12" s="30" t="inlineStr">
        <is>
          <t>Ele</t>
        </is>
      </c>
      <c r="F12" s="30" t="inlineStr">
        <is>
          <t>Boleto</t>
        </is>
      </c>
      <c r="G12" s="31" t="n">
        <v>85</v>
      </c>
      <c r="H12" s="32" t="inlineStr">
        <is>
          <t>Despesa</t>
        </is>
      </c>
    </row>
    <row r="13" ht="22" customHeight="1">
      <c r="A13" s="23" t="n">
        <v>46174</v>
      </c>
      <c r="B13" s="24" t="inlineStr">
        <is>
          <t>Avivados</t>
        </is>
      </c>
      <c r="C13" s="25" t="inlineStr">
        <is>
          <t>Avivados</t>
        </is>
      </c>
      <c r="D13" s="25" t="inlineStr">
        <is>
          <t>Avivados</t>
        </is>
      </c>
      <c r="E13" s="25" t="inlineStr">
        <is>
          <t>Casal</t>
        </is>
      </c>
      <c r="F13" s="25" t="inlineStr">
        <is>
          <t>PIX</t>
        </is>
      </c>
      <c r="G13" s="26" t="n">
        <v>200</v>
      </c>
      <c r="H13" s="32" t="inlineStr">
        <is>
          <t>Despesa</t>
        </is>
      </c>
    </row>
    <row r="14" ht="22" customHeight="1">
      <c r="A14" s="28" t="n">
        <v>46174</v>
      </c>
      <c r="B14" s="29" t="inlineStr">
        <is>
          <t>Celular - Ele</t>
        </is>
      </c>
      <c r="C14" s="30" t="inlineStr">
        <is>
          <t>Comunicacao</t>
        </is>
      </c>
      <c r="D14" s="30" t="inlineStr">
        <is>
          <t>Celular Ele</t>
        </is>
      </c>
      <c r="E14" s="30" t="inlineStr">
        <is>
          <t>Ele</t>
        </is>
      </c>
      <c r="F14" s="30" t="inlineStr">
        <is>
          <t>Debito</t>
        </is>
      </c>
      <c r="G14" s="31" t="n">
        <v>235</v>
      </c>
      <c r="H14" s="32" t="inlineStr">
        <is>
          <t>Despesa</t>
        </is>
      </c>
    </row>
    <row r="15" ht="22" customHeight="1">
      <c r="A15" s="23" t="n">
        <v>46174</v>
      </c>
      <c r="B15" s="24" t="inlineStr">
        <is>
          <t>Academia</t>
        </is>
      </c>
      <c r="C15" s="25" t="inlineStr">
        <is>
          <t>Saude</t>
        </is>
      </c>
      <c r="D15" s="25" t="inlineStr">
        <is>
          <t>Academia</t>
        </is>
      </c>
      <c r="E15" s="25" t="inlineStr">
        <is>
          <t>Ela</t>
        </is>
      </c>
      <c r="F15" s="25" t="inlineStr">
        <is>
          <t>Cartao Credito</t>
        </is>
      </c>
      <c r="G15" s="26" t="n">
        <v>94.90000000000001</v>
      </c>
      <c r="H15" s="32" t="inlineStr">
        <is>
          <t>Despesa</t>
        </is>
      </c>
    </row>
    <row r="16" ht="22" customHeight="1">
      <c r="A16" s="28" t="n">
        <v>46174</v>
      </c>
      <c r="B16" s="29" t="inlineStr">
        <is>
          <t>Celular - Ela</t>
        </is>
      </c>
      <c r="C16" s="30" t="inlineStr">
        <is>
          <t>Comunicacao</t>
        </is>
      </c>
      <c r="D16" s="30" t="inlineStr">
        <is>
          <t>Celular Ela</t>
        </is>
      </c>
      <c r="E16" s="30" t="inlineStr">
        <is>
          <t>Ela</t>
        </is>
      </c>
      <c r="F16" s="30" t="inlineStr">
        <is>
          <t>Cartao Credito</t>
        </is>
      </c>
      <c r="G16" s="31" t="n">
        <v>179.77</v>
      </c>
      <c r="H16" s="32" t="inlineStr">
        <is>
          <t>Despesa</t>
        </is>
      </c>
    </row>
    <row r="17" ht="22" customHeight="1">
      <c r="A17" s="23" t="n">
        <v>46174</v>
      </c>
      <c r="B17" s="24" t="inlineStr">
        <is>
          <t>Apple (conta)</t>
        </is>
      </c>
      <c r="C17" s="25" t="inlineStr">
        <is>
          <t>Assinaturas</t>
        </is>
      </c>
      <c r="D17" s="25" t="inlineStr">
        <is>
          <t>Apple</t>
        </is>
      </c>
      <c r="E17" s="25" t="inlineStr">
        <is>
          <t>Ele</t>
        </is>
      </c>
      <c r="F17" s="25" t="inlineStr">
        <is>
          <t>Cartao Credito</t>
        </is>
      </c>
      <c r="G17" s="26" t="n">
        <v>5.9</v>
      </c>
      <c r="H17" s="32" t="inlineStr">
        <is>
          <t>Despesa</t>
        </is>
      </c>
    </row>
    <row r="18" ht="22" customHeight="1">
      <c r="A18" s="28" t="n">
        <v>46174</v>
      </c>
      <c r="B18" s="29" t="inlineStr">
        <is>
          <t>Adobe Photoshop</t>
        </is>
      </c>
      <c r="C18" s="30" t="inlineStr">
        <is>
          <t>Assinaturas</t>
        </is>
      </c>
      <c r="D18" s="30" t="inlineStr">
        <is>
          <t>Photoshop</t>
        </is>
      </c>
      <c r="E18" s="30" t="inlineStr">
        <is>
          <t>Ele</t>
        </is>
      </c>
      <c r="F18" s="30" t="inlineStr">
        <is>
          <t>Cartao Credito</t>
        </is>
      </c>
      <c r="G18" s="31" t="n">
        <v>49</v>
      </c>
      <c r="H18" s="32" t="inlineStr">
        <is>
          <t>Despesa</t>
        </is>
      </c>
    </row>
    <row r="19" ht="22" customHeight="1">
      <c r="A19" s="23" t="n">
        <v>46174</v>
      </c>
      <c r="B19" s="24" t="inlineStr">
        <is>
          <t>CapCut Pro</t>
        </is>
      </c>
      <c r="C19" s="25" t="inlineStr">
        <is>
          <t>Assinaturas</t>
        </is>
      </c>
      <c r="D19" s="25" t="inlineStr">
        <is>
          <t>CapCut</t>
        </is>
      </c>
      <c r="E19" s="25" t="inlineStr">
        <is>
          <t>Ela</t>
        </is>
      </c>
      <c r="F19" s="25" t="inlineStr">
        <is>
          <t>Cartao Credito</t>
        </is>
      </c>
      <c r="G19" s="26" t="n">
        <v>32</v>
      </c>
      <c r="H19" s="32" t="inlineStr">
        <is>
          <t>Despesa</t>
        </is>
      </c>
    </row>
    <row r="20" ht="22" customHeight="1">
      <c r="A20" s="28" t="n">
        <v>46174</v>
      </c>
      <c r="B20" s="29" t="inlineStr">
        <is>
          <t>Apple (conta 2)</t>
        </is>
      </c>
      <c r="C20" s="30" t="inlineStr">
        <is>
          <t>Assinaturas</t>
        </is>
      </c>
      <c r="D20" s="30" t="inlineStr">
        <is>
          <t>Apple</t>
        </is>
      </c>
      <c r="E20" s="30" t="inlineStr">
        <is>
          <t>Ela</t>
        </is>
      </c>
      <c r="F20" s="30" t="inlineStr">
        <is>
          <t>Cartao Credito</t>
        </is>
      </c>
      <c r="G20" s="31" t="n">
        <v>66</v>
      </c>
      <c r="H20" s="32" t="inlineStr">
        <is>
          <t>Despesa</t>
        </is>
      </c>
    </row>
    <row r="21" ht="22" customHeight="1">
      <c r="A21" s="23" t="n">
        <v>46174</v>
      </c>
      <c r="B21" s="24" t="inlineStr">
        <is>
          <t>Vivo</t>
        </is>
      </c>
      <c r="C21" s="25" t="inlineStr">
        <is>
          <t>Comunicacao</t>
        </is>
      </c>
      <c r="D21" s="25" t="inlineStr">
        <is>
          <t>Vivo</t>
        </is>
      </c>
      <c r="E21" s="25" t="inlineStr">
        <is>
          <t>Ela</t>
        </is>
      </c>
      <c r="F21" s="25" t="inlineStr">
        <is>
          <t>Cartao Credito</t>
        </is>
      </c>
      <c r="G21" s="26" t="n">
        <v>86</v>
      </c>
      <c r="H21" s="32" t="inlineStr">
        <is>
          <t>Despesa</t>
        </is>
      </c>
    </row>
    <row r="22" ht="22" customHeight="1">
      <c r="A22" s="28" t="n">
        <v>46174</v>
      </c>
      <c r="B22" s="29" t="inlineStr">
        <is>
          <t>Mercado</t>
        </is>
      </c>
      <c r="C22" s="30" t="inlineStr">
        <is>
          <t>Alimentacao</t>
        </is>
      </c>
      <c r="D22" s="30" t="inlineStr">
        <is>
          <t>Mercado</t>
        </is>
      </c>
      <c r="E22" s="30" t="inlineStr">
        <is>
          <t>Casal</t>
        </is>
      </c>
      <c r="F22" s="30" t="inlineStr">
        <is>
          <t>PIX</t>
        </is>
      </c>
      <c r="G22" s="31" t="n">
        <v>1200</v>
      </c>
      <c r="H22" s="32" t="inlineStr">
        <is>
          <t>Despesa</t>
        </is>
      </c>
    </row>
    <row r="23" ht="22" customHeight="1">
      <c r="A23" s="23" t="n">
        <v>46174</v>
      </c>
      <c r="B23" s="24" t="inlineStr">
        <is>
          <t>Combustivel</t>
        </is>
      </c>
      <c r="C23" s="25" t="inlineStr">
        <is>
          <t>Transporte</t>
        </is>
      </c>
      <c r="D23" s="25" t="inlineStr">
        <is>
          <t>Combustivel</t>
        </is>
      </c>
      <c r="E23" s="25" t="inlineStr">
        <is>
          <t>Ele</t>
        </is>
      </c>
      <c r="F23" s="25" t="inlineStr">
        <is>
          <t>Debito</t>
        </is>
      </c>
      <c r="G23" s="26" t="n">
        <v>400</v>
      </c>
      <c r="H23" s="32" t="inlineStr">
        <is>
          <t>Despesa</t>
        </is>
      </c>
    </row>
    <row r="24" ht="22" customHeight="1">
      <c r="A24" s="28" t="n">
        <v>46174</v>
      </c>
      <c r="B24" s="29" t="inlineStr">
        <is>
          <t>Lazer</t>
        </is>
      </c>
      <c r="C24" s="30" t="inlineStr">
        <is>
          <t>Lazer</t>
        </is>
      </c>
      <c r="D24" s="30" t="inlineStr">
        <is>
          <t>Outros</t>
        </is>
      </c>
      <c r="E24" s="30" t="inlineStr">
        <is>
          <t>Casal</t>
        </is>
      </c>
      <c r="F24" s="30" t="inlineStr">
        <is>
          <t>PIX</t>
        </is>
      </c>
      <c r="G24" s="31" t="n">
        <v>400</v>
      </c>
      <c r="H24" s="32" t="inlineStr">
        <is>
          <t>Despesa</t>
        </is>
      </c>
    </row>
    <row r="25" ht="22" customHeight="1">
      <c r="A25" s="23" t="n">
        <v>46174</v>
      </c>
      <c r="B25" s="24" t="inlineStr">
        <is>
          <t>Parcelamento - Ele</t>
        </is>
      </c>
      <c r="C25" s="25" t="inlineStr">
        <is>
          <t>Parcelamentos</t>
        </is>
      </c>
      <c r="D25" s="25" t="inlineStr">
        <is>
          <t>Parcelamento Ele</t>
        </is>
      </c>
      <c r="E25" s="25" t="inlineStr">
        <is>
          <t>Ele</t>
        </is>
      </c>
      <c r="F25" s="25" t="inlineStr">
        <is>
          <t>Cartao Credito</t>
        </is>
      </c>
      <c r="G25" s="26" t="n">
        <v>400</v>
      </c>
      <c r="H25" s="32" t="inlineStr">
        <is>
          <t>Despesa</t>
        </is>
      </c>
    </row>
    <row r="26" ht="22" customHeight="1">
      <c r="A26" s="28" t="n">
        <v>46174</v>
      </c>
      <c r="B26" s="29" t="inlineStr">
        <is>
          <t>Parcelamento - Ela</t>
        </is>
      </c>
      <c r="C26" s="30" t="inlineStr">
        <is>
          <t>Parcelamentos</t>
        </is>
      </c>
      <c r="D26" s="30" t="inlineStr">
        <is>
          <t>Parcelamento Ela</t>
        </is>
      </c>
      <c r="E26" s="30" t="inlineStr">
        <is>
          <t>Ela</t>
        </is>
      </c>
      <c r="F26" s="30" t="inlineStr">
        <is>
          <t>Cartao Credito</t>
        </is>
      </c>
      <c r="G26" s="31" t="n">
        <v>187.82</v>
      </c>
      <c r="H26" s="32" t="inlineStr">
        <is>
          <t>Despesa</t>
        </is>
      </c>
    </row>
  </sheetData>
  <mergeCells count="1">
    <mergeCell ref="A1:H1"/>
  </mergeCells>
  <conditionalFormatting sqref="H3:H3000">
    <cfRule type="cellIs" priority="1" operator="equal" dxfId="0">
      <formula>"Receita"</formula>
    </cfRule>
    <cfRule type="cellIs" priority="2" operator="equal" dxfId="1">
      <formula>"Despesa"</formula>
    </cfRule>
  </conditionalFormatting>
  <dataValidations count="5">
    <dataValidation sqref="C3:C3000" showDropDown="0" showInputMessage="0" showErrorMessage="0" allowBlank="1" type="list">
      <formula1>"Moradia,Transporte,Alimentacao,Saude,Educacao,Lazer,Assinaturas,Comunicacao,MEI Negocios,Avivados,Parcelamentos,Outros,Salario,Renda Extra"</formula1>
    </dataValidation>
    <dataValidation sqref="D3:D3000" showDropDown="0" showInputMessage="0" showErrorMessage="0" allowBlank="1" type="list">
      <formula1>"Condominio,Energia,Internet,Financiamento Carro,Combustivel,Mercado,Restaurante,Delivery,Farmacia,Academia,Pos-Graduacao,Streaming,Apple,Photoshop,CapCut,MEI,Celular Ele,Celular Ela,Vivo,Avivados,Parcelamento Ele,Parcelamento Ela,Salario Ele,Salario Ela,Extra,Outros"</formula1>
    </dataValidation>
    <dataValidation sqref="E3:E3000" showDropDown="0" showInputMessage="0" showErrorMessage="0" allowBlank="1" type="list">
      <formula1>"Ele,Ela,Casal"</formula1>
    </dataValidation>
    <dataValidation sqref="F3:F3000" showDropDown="0" showInputMessage="0" showErrorMessage="0" allowBlank="1" type="list">
      <formula1>"PIX,Debito,Cartao Credito,Dinheiro,TED DOC,Boleto"</formula1>
    </dataValidation>
    <dataValidation sqref="H3:H3000" showDropDown="0" showInputMessage="0" showErrorMessage="0" allowBlank="1" type="list">
      <formula1>"Receita,Despesa"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18" customWidth="1" min="4" max="4"/>
    <col width="18" customWidth="1" min="5" max="5"/>
    <col width="16" customWidth="1" min="6" max="6"/>
    <col width="18" customWidth="1" min="7" max="7"/>
    <col width="2" customWidth="1" min="8" max="8"/>
  </cols>
  <sheetData>
    <row r="1" ht="14" customHeight="1">
      <c r="B1" s="33" t="inlineStr">
        <is>
          <t>ORCAMENTO MENSAL</t>
        </is>
      </c>
    </row>
    <row r="2" ht="42" customHeight="1">
      <c r="B2" s="34" t="inlineStr">
        <is>
          <t>Mes de Referencia: June 2026</t>
        </is>
      </c>
      <c r="E2" s="35" t="inlineStr">
        <is>
          <t>Renda Total: R$ 6.600,00</t>
        </is>
      </c>
    </row>
    <row r="3" ht="8" customHeight="1"/>
    <row r="4" ht="30" customHeight="1">
      <c r="B4" s="36" t="inlineStr">
        <is>
          <t>Categoria</t>
        </is>
      </c>
      <c r="C4" s="36" t="inlineStr">
        <is>
          <t>Planejado (R$)</t>
        </is>
      </c>
      <c r="D4" s="36" t="inlineStr">
        <is>
          <t>Realizado (R$)</t>
        </is>
      </c>
      <c r="E4" s="36" t="inlineStr">
        <is>
          <t>Diferenca (R$)</t>
        </is>
      </c>
      <c r="F4" s="36" t="inlineStr">
        <is>
          <t>% Utilizado</t>
        </is>
      </c>
      <c r="G4" s="36" t="inlineStr">
        <is>
          <t>Status</t>
        </is>
      </c>
    </row>
    <row r="5" ht="24" customHeight="1">
      <c r="B5" s="37" t="inlineStr">
        <is>
          <t>Moradia</t>
        </is>
      </c>
      <c r="C5" s="38" t="n">
        <v>646.15</v>
      </c>
      <c r="D5" s="38">
        <f>SUMPRODUCT((MONTH(Lancamentos!$A$3:$A$3000)=MONTH(TODAY()))*(YEAR(Lancamentos!$A$3:$A$3000)=YEAR(TODAY()))*(Lancamentos!$H$3:$H$3000="Despesa")*(Lancamentos!$C$3:$C$3000=B5)*Lancamentos!$G$3:$G$3000)</f>
        <v/>
      </c>
      <c r="E5" s="38">
        <f>C5-D5</f>
        <v/>
      </c>
      <c r="F5" s="39">
        <f>IF(C5=0,0,D5/C5)</f>
        <v/>
      </c>
      <c r="G5" s="40">
        <f>IF(C5=0,"---",IF(F5&gt;1,"ESTOROU","OK"))</f>
        <v/>
      </c>
    </row>
    <row r="6" ht="24" customHeight="1">
      <c r="B6" s="41" t="inlineStr">
        <is>
          <t>Transporte</t>
        </is>
      </c>
      <c r="C6" s="42" t="n">
        <v>998</v>
      </c>
      <c r="D6" s="42">
        <f>SUMPRODUCT((MONTH(Lancamentos!$A$3:$A$3000)=MONTH(TODAY()))*(YEAR(Lancamentos!$A$3:$A$3000)=YEAR(TODAY()))*(Lancamentos!$H$3:$H$3000="Despesa")*(Lancamentos!$C$3:$C$3000=B6)*Lancamentos!$G$3:$G$3000)</f>
        <v/>
      </c>
      <c r="E6" s="42">
        <f>C6-D6</f>
        <v/>
      </c>
      <c r="F6" s="43">
        <f>IF(C6=0,0,D6/C6)</f>
        <v/>
      </c>
      <c r="G6" s="44">
        <f>IF(C6=0,"---",IF(F6&gt;1,"ESTOROU","OK"))</f>
        <v/>
      </c>
    </row>
    <row r="7" ht="24" customHeight="1">
      <c r="B7" s="37" t="inlineStr">
        <is>
          <t>Alimentacao</t>
        </is>
      </c>
      <c r="C7" s="38" t="n">
        <v>1200</v>
      </c>
      <c r="D7" s="38">
        <f>SUMPRODUCT((MONTH(Lancamentos!$A$3:$A$3000)=MONTH(TODAY()))*(YEAR(Lancamentos!$A$3:$A$3000)=YEAR(TODAY()))*(Lancamentos!$H$3:$H$3000="Despesa")*(Lancamentos!$C$3:$C$3000=B7)*Lancamentos!$G$3:$G$3000)</f>
        <v/>
      </c>
      <c r="E7" s="38">
        <f>C7-D7</f>
        <v/>
      </c>
      <c r="F7" s="39">
        <f>IF(C7=0,0,D7/C7)</f>
        <v/>
      </c>
      <c r="G7" s="40">
        <f>IF(C7=0,"---",IF(F7&gt;1,"ESTOROU","OK"))</f>
        <v/>
      </c>
    </row>
    <row r="8" ht="24" customHeight="1">
      <c r="B8" s="41" t="inlineStr">
        <is>
          <t>Saude</t>
        </is>
      </c>
      <c r="C8" s="42" t="n">
        <v>94.90000000000001</v>
      </c>
      <c r="D8" s="42">
        <f>SUMPRODUCT((MONTH(Lancamentos!$A$3:$A$3000)=MONTH(TODAY()))*(YEAR(Lancamentos!$A$3:$A$3000)=YEAR(TODAY()))*(Lancamentos!$H$3:$H$3000="Despesa")*(Lancamentos!$C$3:$C$3000=B8)*Lancamentos!$G$3:$G$3000)</f>
        <v/>
      </c>
      <c r="E8" s="42">
        <f>C8-D8</f>
        <v/>
      </c>
      <c r="F8" s="43">
        <f>IF(C8=0,0,D8/C8)</f>
        <v/>
      </c>
      <c r="G8" s="44">
        <f>IF(C8=0,"---",IF(F8&gt;1,"ESTOROU","OK"))</f>
        <v/>
      </c>
    </row>
    <row r="9" ht="24" customHeight="1">
      <c r="B9" s="37" t="inlineStr">
        <is>
          <t>Educacao</t>
        </is>
      </c>
      <c r="C9" s="38" t="n">
        <v>115.78</v>
      </c>
      <c r="D9" s="38">
        <f>SUMPRODUCT((MONTH(Lancamentos!$A$3:$A$3000)=MONTH(TODAY()))*(YEAR(Lancamentos!$A$3:$A$3000)=YEAR(TODAY()))*(Lancamentos!$H$3:$H$3000="Despesa")*(Lancamentos!$C$3:$C$3000=B9)*Lancamentos!$G$3:$G$3000)</f>
        <v/>
      </c>
      <c r="E9" s="38">
        <f>C9-D9</f>
        <v/>
      </c>
      <c r="F9" s="39">
        <f>IF(C9=0,0,D9/C9)</f>
        <v/>
      </c>
      <c r="G9" s="40">
        <f>IF(C9=0,"---",IF(F9&gt;1,"ESTOROU","OK"))</f>
        <v/>
      </c>
    </row>
    <row r="10" ht="24" customHeight="1">
      <c r="B10" s="41" t="inlineStr">
        <is>
          <t>Lazer</t>
        </is>
      </c>
      <c r="C10" s="42" t="n">
        <v>440</v>
      </c>
      <c r="D10" s="42">
        <f>SUMPRODUCT((MONTH(Lancamentos!$A$3:$A$3000)=MONTH(TODAY()))*(YEAR(Lancamentos!$A$3:$A$3000)=YEAR(TODAY()))*(Lancamentos!$H$3:$H$3000="Despesa")*(Lancamentos!$C$3:$C$3000=B10)*Lancamentos!$G$3:$G$3000)</f>
        <v/>
      </c>
      <c r="E10" s="42">
        <f>C10-D10</f>
        <v/>
      </c>
      <c r="F10" s="43">
        <f>IF(C10=0,0,D10/C10)</f>
        <v/>
      </c>
      <c r="G10" s="44">
        <f>IF(C10=0,"---",IF(F10&gt;1,"ESTOROU","OK"))</f>
        <v/>
      </c>
    </row>
    <row r="11" ht="24" customHeight="1">
      <c r="B11" s="37" t="inlineStr">
        <is>
          <t>Assinaturas</t>
        </is>
      </c>
      <c r="C11" s="38" t="n">
        <v>152.9</v>
      </c>
      <c r="D11" s="38">
        <f>SUMPRODUCT((MONTH(Lancamentos!$A$3:$A$3000)=MONTH(TODAY()))*(YEAR(Lancamentos!$A$3:$A$3000)=YEAR(TODAY()))*(Lancamentos!$H$3:$H$3000="Despesa")*(Lancamentos!$C$3:$C$3000=B11)*Lancamentos!$G$3:$G$3000)</f>
        <v/>
      </c>
      <c r="E11" s="38">
        <f>C11-D11</f>
        <v/>
      </c>
      <c r="F11" s="39">
        <f>IF(C11=0,0,D11/C11)</f>
        <v/>
      </c>
      <c r="G11" s="40">
        <f>IF(C11=0,"---",IF(F11&gt;1,"ESTOROU","OK"))</f>
        <v/>
      </c>
    </row>
    <row r="12" ht="24" customHeight="1">
      <c r="B12" s="41" t="inlineStr">
        <is>
          <t>Comunicacao</t>
        </is>
      </c>
      <c r="C12" s="42" t="n">
        <v>625.51</v>
      </c>
      <c r="D12" s="42">
        <f>SUMPRODUCT((MONTH(Lancamentos!$A$3:$A$3000)=MONTH(TODAY()))*(YEAR(Lancamentos!$A$3:$A$3000)=YEAR(TODAY()))*(Lancamentos!$H$3:$H$3000="Despesa")*(Lancamentos!$C$3:$C$3000=B12)*Lancamentos!$G$3:$G$3000)</f>
        <v/>
      </c>
      <c r="E12" s="42">
        <f>C12-D12</f>
        <v/>
      </c>
      <c r="F12" s="43">
        <f>IF(C12=0,0,D12/C12)</f>
        <v/>
      </c>
      <c r="G12" s="44">
        <f>IF(C12=0,"---",IF(F12&gt;1,"ESTOROU","OK"))</f>
        <v/>
      </c>
    </row>
    <row r="13" ht="24" customHeight="1">
      <c r="B13" s="37" t="inlineStr">
        <is>
          <t>MEI Negocios</t>
        </is>
      </c>
      <c r="C13" s="38" t="n">
        <v>85</v>
      </c>
      <c r="D13" s="38">
        <f>SUMPRODUCT((MONTH(Lancamentos!$A$3:$A$3000)=MONTH(TODAY()))*(YEAR(Lancamentos!$A$3:$A$3000)=YEAR(TODAY()))*(Lancamentos!$H$3:$H$3000="Despesa")*(Lancamentos!$C$3:$C$3000=B13)*Lancamentos!$G$3:$G$3000)</f>
        <v/>
      </c>
      <c r="E13" s="38">
        <f>C13-D13</f>
        <v/>
      </c>
      <c r="F13" s="39">
        <f>IF(C13=0,0,D13/C13)</f>
        <v/>
      </c>
      <c r="G13" s="40">
        <f>IF(C13=0,"---",IF(F13&gt;1,"ESTOROU","OK"))</f>
        <v/>
      </c>
    </row>
    <row r="14" ht="24" customHeight="1">
      <c r="B14" s="41" t="inlineStr">
        <is>
          <t>Avivados</t>
        </is>
      </c>
      <c r="C14" s="42" t="n">
        <v>200</v>
      </c>
      <c r="D14" s="42">
        <f>SUMPRODUCT((MONTH(Lancamentos!$A$3:$A$3000)=MONTH(TODAY()))*(YEAR(Lancamentos!$A$3:$A$3000)=YEAR(TODAY()))*(Lancamentos!$H$3:$H$3000="Despesa")*(Lancamentos!$C$3:$C$3000=B14)*Lancamentos!$G$3:$G$3000)</f>
        <v/>
      </c>
      <c r="E14" s="42">
        <f>C14-D14</f>
        <v/>
      </c>
      <c r="F14" s="43">
        <f>IF(C14=0,0,D14/C14)</f>
        <v/>
      </c>
      <c r="G14" s="44">
        <f>IF(C14=0,"---",IF(F14&gt;1,"ESTOROU","OK"))</f>
        <v/>
      </c>
    </row>
    <row r="15" ht="24" customHeight="1">
      <c r="B15" s="37" t="inlineStr">
        <is>
          <t>Parcelamentos</t>
        </is>
      </c>
      <c r="C15" s="38" t="n">
        <v>587.8200000000001</v>
      </c>
      <c r="D15" s="38">
        <f>SUMPRODUCT((MONTH(Lancamentos!$A$3:$A$3000)=MONTH(TODAY()))*(YEAR(Lancamentos!$A$3:$A$3000)=YEAR(TODAY()))*(Lancamentos!$H$3:$H$3000="Despesa")*(Lancamentos!$C$3:$C$3000=B15)*Lancamentos!$G$3:$G$3000)</f>
        <v/>
      </c>
      <c r="E15" s="38">
        <f>C15-D15</f>
        <v/>
      </c>
      <c r="F15" s="39">
        <f>IF(C15=0,0,D15/C15)</f>
        <v/>
      </c>
      <c r="G15" s="40">
        <f>IF(C15=0,"---",IF(F15&gt;1,"ESTOROU","OK"))</f>
        <v/>
      </c>
    </row>
    <row r="16" ht="24" customHeight="1">
      <c r="B16" s="41" t="inlineStr">
        <is>
          <t>Outros</t>
        </is>
      </c>
      <c r="C16" s="42" t="n">
        <v>0</v>
      </c>
      <c r="D16" s="42">
        <f>SUMPRODUCT((MONTH(Lancamentos!$A$3:$A$3000)=MONTH(TODAY()))*(YEAR(Lancamentos!$A$3:$A$3000)=YEAR(TODAY()))*(Lancamentos!$H$3:$H$3000="Despesa")*(Lancamentos!$C$3:$C$3000=B16)*Lancamentos!$G$3:$G$3000)</f>
        <v/>
      </c>
      <c r="E16" s="42">
        <f>C16-D16</f>
        <v/>
      </c>
      <c r="F16" s="43">
        <f>IF(C16=0,0,D16/C16)</f>
        <v/>
      </c>
      <c r="G16" s="44">
        <f>IF(C16=0,"---",IF(F16&gt;1,"ESTOROU","OK"))</f>
        <v/>
      </c>
    </row>
    <row r="17" ht="28" customHeight="1">
      <c r="B17" s="22" t="inlineStr">
        <is>
          <t>TOTAL ORCADO</t>
        </is>
      </c>
      <c r="C17" s="45">
        <f>SUM(C5:C16)</f>
        <v/>
      </c>
      <c r="D17" s="45">
        <f>SUM(D5:D16)</f>
        <v/>
      </c>
      <c r="E17" s="45">
        <f>C17-D17</f>
        <v/>
      </c>
      <c r="F17" s="46">
        <f>IF(C17=0,0,D17/C17)</f>
        <v/>
      </c>
      <c r="G17" s="22" t="inlineStr"/>
    </row>
    <row r="19" ht="26" customHeight="1">
      <c r="B19" s="47" t="inlineStr">
        <is>
          <t>Renda Total do Mes</t>
        </is>
      </c>
      <c r="C19" s="45">
        <f>SUMPRODUCT((MONTH(Lancamentos!$A$3:$A$3000)=MONTH(TODAY()))*(YEAR(Lancamentos!$A$3:$A$3000)=YEAR(TODAY()))*(Lancamentos!$H$3:$H$3000="Receita")*Lancamentos!$G$3:$G$3000)</f>
        <v/>
      </c>
      <c r="D19" s="22" t="inlineStr"/>
      <c r="E19" s="22" t="inlineStr"/>
      <c r="F19" s="22" t="inlineStr"/>
      <c r="G19" s="22" t="inlineStr"/>
    </row>
    <row r="20" ht="26" customHeight="1">
      <c r="B20" s="48" t="inlineStr">
        <is>
          <t>Sobra / Disponivel</t>
        </is>
      </c>
      <c r="C20" s="49">
        <f>C19-C17</f>
        <v/>
      </c>
      <c r="D20" s="50" t="inlineStr"/>
      <c r="E20" s="50" t="inlineStr"/>
      <c r="F20" s="50" t="inlineStr"/>
      <c r="G20" s="50" t="inlineStr"/>
    </row>
  </sheetData>
  <mergeCells count="3">
    <mergeCell ref="E2:G2"/>
    <mergeCell ref="B2:D2"/>
    <mergeCell ref="B1:G1"/>
  </mergeCells>
  <conditionalFormatting sqref="F5:F16">
    <cfRule type="cellIs" priority="1" operator="greaterThan" dxfId="2">
      <formula>1</formula>
    </cfRule>
    <cfRule type="cellIs" priority="2" operator="between" dxfId="3">
      <formula>0.8</formula>
      <formula>1</formula>
    </cfRule>
    <cfRule type="cellIs" priority="3" operator="lessThan" dxfId="0">
      <formula>0.8</formula>
    </cfRule>
  </conditionalFormatting>
  <conditionalFormatting sqref="G5:G16">
    <cfRule type="cellIs" priority="4" operator="equal" dxfId="2">
      <formula>"ESTOROU"</formula>
    </cfRule>
    <cfRule type="cellIs" priority="5" operator="equal" dxfId="0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C3483"/>
    <outlinePr summaryBelow="1" summaryRight="1"/>
    <pageSetUpPr/>
  </sheetPr>
  <dimension ref="B1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2" customWidth="1" min="3" max="3"/>
    <col width="2" customWidth="1" min="4" max="4"/>
  </cols>
  <sheetData>
    <row r="1" ht="14" customHeight="1">
      <c r="B1" s="51" t="inlineStr">
        <is>
          <t>RESERVA DE EMERGENCIA</t>
        </is>
      </c>
    </row>
    <row r="2" ht="42" customHeight="1">
      <c r="B2" s="52" t="inlineStr">
        <is>
          <t>Sua seguranca financeira comeca aqui. Atualize o campo amarelo sempre que depositar.</t>
        </is>
      </c>
    </row>
    <row r="3" ht="12" customHeight="1"/>
    <row r="4" ht="30" customHeight="1">
      <c r="B4" s="53" t="inlineStr">
        <is>
          <t>Custo de Vida Mensal (R$)</t>
        </is>
      </c>
      <c r="C4" s="54" t="n">
        <v>5146.06</v>
      </c>
    </row>
    <row r="5" ht="30" customHeight="1">
      <c r="B5" s="53" t="inlineStr">
        <is>
          <t>Meses de Protecao Desejados</t>
        </is>
      </c>
      <c r="C5" s="55" t="n">
        <v>6</v>
      </c>
    </row>
    <row r="6" ht="30" customHeight="1">
      <c r="B6" s="53" t="inlineStr">
        <is>
          <t>META TOTAL DA RESERVA (R$)</t>
        </is>
      </c>
      <c r="C6" s="56">
        <f>B4*B5</f>
        <v/>
      </c>
    </row>
    <row r="7" ht="30" customHeight="1">
      <c r="B7" s="57" t="inlineStr">
        <is>
          <t>VALOR JA ACUMULADO (R$)  &lt;- EDITE AQUI!</t>
        </is>
      </c>
      <c r="C7" s="58" t="n">
        <v>0</v>
      </c>
    </row>
    <row r="8" ht="30" customHeight="1">
      <c r="B8" s="53" t="inlineStr">
        <is>
          <t>Falta para Completar (R$)</t>
        </is>
      </c>
      <c r="C8" s="59">
        <f>B6-B7</f>
        <v/>
      </c>
    </row>
    <row r="9" ht="30" customHeight="1">
      <c r="B9" s="53" t="inlineStr">
        <is>
          <t>Percentual Concluido (%)</t>
        </is>
      </c>
      <c r="C9" s="60">
        <f>IF(B6=0,0,B7/B6)</f>
        <v/>
      </c>
    </row>
    <row r="10" ht="30" customHeight="1">
      <c r="B10" s="53" t="inlineStr">
        <is>
          <t>Meses de Vida Protegidos (atual)</t>
        </is>
      </c>
      <c r="C10" s="61">
        <f>IF(B4=0,0,B7/B4)</f>
        <v/>
      </c>
    </row>
    <row r="11" ht="30" customHeight="1">
      <c r="B11" s="57" t="inlineStr">
        <is>
          <t>Aporte Mensal Sugerido (R$)</t>
        </is>
      </c>
      <c r="C11" s="58" t="n">
        <v>1454</v>
      </c>
    </row>
    <row r="12" ht="30" customHeight="1">
      <c r="B12" s="53" t="inlineStr">
        <is>
          <t>Previsao de Conclusao</t>
        </is>
      </c>
      <c r="C12" s="62">
        <f>IFERROR(TEXT(TODAY()+((B6-B7)/B11)*30,"MMM/YYYY"),"---")</f>
        <v/>
      </c>
    </row>
    <row r="14" ht="12" customHeight="1">
      <c r="B14" s="9" t="inlineStr">
        <is>
          <t>PROGRESSO</t>
        </is>
      </c>
    </row>
    <row r="15" ht="36" customHeight="1">
      <c r="B15" s="63">
        <f>IFERROR("["&amp;REPT("|",ROUND(B9*30,0))&amp;REPT(".",30-ROUND(B9*30,0))&amp;"]  "&amp;TEXT(B9,"0%")&amp;" concluido","Nenhum valor acumulado ainda")</f>
        <v/>
      </c>
    </row>
    <row r="16" ht="12" customHeight="1"/>
    <row r="18" ht="22" customHeight="1">
      <c r="B18" s="20" t="inlineStr">
        <is>
          <t xml:space="preserve">  Onde guardar: Tesouro Selic ou CDB 100% CDI com liquidez diaria. Nunca misture com conta corrente.</t>
        </is>
      </c>
    </row>
  </sheetData>
  <mergeCells count="5">
    <mergeCell ref="B2:C2"/>
    <mergeCell ref="B15:C15"/>
    <mergeCell ref="B14:C14"/>
    <mergeCell ref="B18:C18"/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1:I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6" customWidth="1" min="8" max="8"/>
    <col width="14" customWidth="1" min="9" max="9"/>
    <col width="2" customWidth="1" min="10" max="10"/>
  </cols>
  <sheetData>
    <row r="1" ht="14" customHeight="1">
      <c r="B1" s="64" t="inlineStr">
        <is>
          <t>DIVIDAS E PARCELAMENTOS</t>
        </is>
      </c>
    </row>
    <row r="2" ht="42" customHeight="1"/>
    <row r="3" ht="12" customHeight="1"/>
    <row r="4" ht="30" customHeight="1">
      <c r="B4" s="65" t="inlineStr">
        <is>
          <t>Credor</t>
        </is>
      </c>
      <c r="C4" s="65" t="inlineStr">
        <is>
          <t>Tipo</t>
        </is>
      </c>
      <c r="D4" s="65" t="inlineStr">
        <is>
          <t>Saldo Total (R$)</t>
        </is>
      </c>
      <c r="E4" s="65" t="inlineStr">
        <is>
          <t>Parcela Mensal (R$)</t>
        </is>
      </c>
      <c r="F4" s="65" t="inlineStr">
        <is>
          <t>Parcelas Rest.</t>
        </is>
      </c>
      <c r="G4" s="65" t="inlineStr">
        <is>
          <t>Juros (% a.m.)</t>
        </is>
      </c>
      <c r="H4" s="65" t="inlineStr">
        <is>
          <t>Termino</t>
        </is>
      </c>
      <c r="I4" s="65" t="inlineStr">
        <is>
          <t>Prioridade</t>
        </is>
      </c>
    </row>
    <row r="5" ht="26" customHeight="1">
      <c r="B5" s="66" t="inlineStr">
        <is>
          <t>Financiamento Carro</t>
        </is>
      </c>
      <c r="C5" s="67" t="inlineStr">
        <is>
          <t>Financiamento</t>
        </is>
      </c>
      <c r="D5" s="67" t="n"/>
      <c r="E5" s="66" t="n">
        <v>598</v>
      </c>
      <c r="F5" s="66" t="n"/>
      <c r="G5" s="66" t="n"/>
      <c r="H5" s="66" t="n"/>
      <c r="I5" s="66" t="inlineStr">
        <is>
          <t>Alta</t>
        </is>
      </c>
    </row>
    <row r="6" ht="22" customHeight="1">
      <c r="B6" s="68" t="n"/>
      <c r="C6" s="69" t="n"/>
      <c r="D6" s="69" t="n"/>
      <c r="E6" s="68" t="n"/>
      <c r="F6" s="68" t="n"/>
      <c r="G6" s="68" t="n"/>
      <c r="H6" s="68" t="n"/>
      <c r="I6" s="68" t="n"/>
    </row>
    <row r="7" ht="22" customHeight="1">
      <c r="B7" s="70" t="n"/>
      <c r="C7" s="71" t="n"/>
      <c r="D7" s="71" t="n"/>
      <c r="E7" s="70" t="n"/>
      <c r="F7" s="70" t="n"/>
      <c r="G7" s="70" t="n"/>
      <c r="H7" s="70" t="n"/>
      <c r="I7" s="70" t="n"/>
    </row>
    <row r="8" ht="22" customHeight="1">
      <c r="B8" s="68" t="n"/>
      <c r="C8" s="69" t="n"/>
      <c r="D8" s="69" t="n"/>
      <c r="E8" s="68" t="n"/>
      <c r="F8" s="68" t="n"/>
      <c r="G8" s="68" t="n"/>
      <c r="H8" s="68" t="n"/>
      <c r="I8" s="68" t="n"/>
    </row>
    <row r="9" ht="22" customHeight="1">
      <c r="B9" s="70" t="n"/>
      <c r="C9" s="71" t="n"/>
      <c r="D9" s="71" t="n"/>
      <c r="E9" s="70" t="n"/>
      <c r="F9" s="70" t="n"/>
      <c r="G9" s="70" t="n"/>
      <c r="H9" s="70" t="n"/>
      <c r="I9" s="70" t="n"/>
    </row>
    <row r="10" ht="22" customHeight="1">
      <c r="B10" s="68" t="n"/>
      <c r="C10" s="69" t="n"/>
      <c r="D10" s="69" t="n"/>
      <c r="E10" s="68" t="n"/>
      <c r="F10" s="68" t="n"/>
      <c r="G10" s="68" t="n"/>
      <c r="H10" s="68" t="n"/>
      <c r="I10" s="68" t="n"/>
    </row>
    <row r="11" ht="22" customHeight="1">
      <c r="B11" s="70" t="n"/>
      <c r="C11" s="71" t="n"/>
      <c r="D11" s="71" t="n"/>
      <c r="E11" s="70" t="n"/>
      <c r="F11" s="70" t="n"/>
      <c r="G11" s="70" t="n"/>
      <c r="H11" s="70" t="n"/>
      <c r="I11" s="70" t="n"/>
    </row>
    <row r="12" ht="22" customHeight="1">
      <c r="B12" s="68" t="n"/>
      <c r="C12" s="69" t="n"/>
      <c r="D12" s="69" t="n"/>
      <c r="E12" s="68" t="n"/>
      <c r="F12" s="68" t="n"/>
      <c r="G12" s="68" t="n"/>
      <c r="H12" s="68" t="n"/>
      <c r="I12" s="68" t="n"/>
    </row>
    <row r="13" ht="22" customHeight="1">
      <c r="B13" s="70" t="n"/>
      <c r="C13" s="71" t="n"/>
      <c r="D13" s="71" t="n"/>
      <c r="E13" s="70" t="n"/>
      <c r="F13" s="70" t="n"/>
      <c r="G13" s="70" t="n"/>
      <c r="H13" s="70" t="n"/>
      <c r="I13" s="70" t="n"/>
    </row>
    <row r="14" ht="22" customHeight="1">
      <c r="B14" s="68" t="n"/>
      <c r="C14" s="69" t="n"/>
      <c r="D14" s="69" t="n"/>
      <c r="E14" s="68" t="n"/>
      <c r="F14" s="68" t="n"/>
      <c r="G14" s="68" t="n"/>
      <c r="H14" s="68" t="n"/>
      <c r="I14" s="68" t="n"/>
    </row>
    <row r="15" ht="22" customHeight="1">
      <c r="B15" s="70" t="n"/>
      <c r="C15" s="71" t="n"/>
      <c r="D15" s="71" t="n"/>
      <c r="E15" s="70" t="n"/>
      <c r="F15" s="70" t="n"/>
      <c r="G15" s="70" t="n"/>
      <c r="H15" s="70" t="n"/>
      <c r="I15" s="70" t="n"/>
    </row>
    <row r="16" ht="28" customHeight="1">
      <c r="B16" s="72" t="inlineStr">
        <is>
          <t>TOTAL RESTANTE (R$)</t>
        </is>
      </c>
      <c r="D16" s="73">
        <f>IFERROR(SUM(D5:D15),0)</f>
        <v/>
      </c>
    </row>
    <row r="18" ht="22" customHeight="1">
      <c r="B18" s="20" t="inlineStr">
        <is>
          <t xml:space="preserve">  Preencha: Saldo Total, Parcelas Restantes, Juros e Data de Termino para cada divida.</t>
        </is>
      </c>
    </row>
  </sheetData>
  <mergeCells count="3">
    <mergeCell ref="B18:I18"/>
    <mergeCell ref="B1:I1"/>
    <mergeCell ref="B16:C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D35400"/>
    <outlinePr summaryBelow="1" summaryRight="1"/>
    <pageSetUpPr/>
  </sheetPr>
  <dimension ref="B1:G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14" customWidth="1" min="4" max="4"/>
    <col width="18" customWidth="1" min="5" max="5"/>
    <col width="14" customWidth="1" min="6" max="6"/>
    <col width="18" customWidth="1" min="7" max="7"/>
    <col width="2" customWidth="1" min="8" max="8"/>
  </cols>
  <sheetData>
    <row r="1" ht="14" customHeight="1">
      <c r="B1" s="74" t="inlineStr">
        <is>
          <t>METAS FINANCEIRAS</t>
        </is>
      </c>
    </row>
    <row r="2" ht="42" customHeight="1"/>
    <row r="3" ht="12" customHeight="1"/>
    <row r="4" ht="30" customHeight="1">
      <c r="B4" s="75" t="inlineStr">
        <is>
          <t>Meta</t>
        </is>
      </c>
      <c r="C4" s="75" t="inlineStr">
        <is>
          <t>Valor Alvo (R$)</t>
        </is>
      </c>
      <c r="D4" s="75" t="inlineStr">
        <is>
          <t>Prazo</t>
        </is>
      </c>
      <c r="E4" s="75" t="inlineStr">
        <is>
          <t>Valor Atual (R$)</t>
        </is>
      </c>
      <c r="F4" s="75" t="inlineStr">
        <is>
          <t>Falta (R$)</t>
        </is>
      </c>
      <c r="G4" s="75" t="inlineStr">
        <is>
          <t>% Concluido</t>
        </is>
      </c>
    </row>
    <row r="5" ht="30" customHeight="1">
      <c r="B5" s="76" t="inlineStr">
        <is>
          <t>Reserva de Emergencia (6 meses)</t>
        </is>
      </c>
      <c r="C5" s="77">
        <f>Reserva!B6</f>
        <v/>
      </c>
      <c r="D5" s="77" t="inlineStr">
        <is>
          <t>Dez/2027</t>
        </is>
      </c>
      <c r="E5" s="77">
        <f>Reserva!B7</f>
        <v/>
      </c>
      <c r="F5" s="78">
        <f>IF(OR(C5=0,C5=""),0,C5-E5)</f>
        <v/>
      </c>
      <c r="G5" s="79">
        <f>IF(OR(C5=0,C5=""),0,E5/C5)</f>
        <v/>
      </c>
    </row>
    <row r="6" ht="30" customHeight="1">
      <c r="B6" s="41" t="inlineStr">
        <is>
          <t>Entrada - Imovel Proprio</t>
        </is>
      </c>
      <c r="C6" s="25" t="n"/>
      <c r="D6" s="25" t="inlineStr">
        <is>
          <t>Jun/2029</t>
        </is>
      </c>
      <c r="E6" s="25" t="n">
        <v>0</v>
      </c>
      <c r="F6" s="25" t="inlineStr"/>
      <c r="G6" s="80" t="inlineStr"/>
    </row>
    <row r="7" ht="30" customHeight="1">
      <c r="B7" s="76" t="inlineStr"/>
      <c r="C7" s="78" t="n"/>
      <c r="D7" s="78" t="inlineStr"/>
      <c r="E7" s="78" t="n">
        <v>0</v>
      </c>
      <c r="F7" s="78" t="inlineStr"/>
      <c r="G7" s="79" t="inlineStr"/>
    </row>
    <row r="8" ht="30" customHeight="1">
      <c r="B8" s="41" t="inlineStr"/>
      <c r="C8" s="25" t="n"/>
      <c r="D8" s="25" t="inlineStr"/>
      <c r="E8" s="25" t="n">
        <v>0</v>
      </c>
      <c r="F8" s="25" t="inlineStr"/>
      <c r="G8" s="80" t="inlineStr"/>
    </row>
    <row r="10" ht="22" customHeight="1">
      <c r="B10" s="20" t="inlineStr">
        <is>
          <t xml:space="preserve">  Atualize o campo 'Valor Atual' sempre que fizer um deposito ou guardar dinheiro para a meta.</t>
        </is>
      </c>
    </row>
  </sheetData>
  <mergeCells count="2">
    <mergeCell ref="B10:G10"/>
    <mergeCell ref="B1:G1"/>
  </mergeCells>
  <conditionalFormatting sqref="G5:G8">
    <cfRule type="cellIs" priority="1" operator="greaterThanOrEqual" dxfId="0">
      <formula>1</formula>
    </cfRule>
    <cfRule type="cellIs" priority="2" operator="between" dxfId="3">
      <formula>0.5</formula>
      <formula>0.99</formula>
    </cfRule>
    <cfRule type="cellIs" priority="3" operator="lessThan" dxfId="2">
      <formula>0.5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Moradia</t>
        </is>
      </c>
      <c r="B1" t="inlineStr">
        <is>
          <t>Condominio</t>
        </is>
      </c>
    </row>
    <row r="2">
      <c r="A2" t="inlineStr">
        <is>
          <t>Transporte</t>
        </is>
      </c>
      <c r="B2" t="inlineStr">
        <is>
          <t>Energia</t>
        </is>
      </c>
    </row>
    <row r="3">
      <c r="A3" t="inlineStr">
        <is>
          <t>Alimentacao</t>
        </is>
      </c>
      <c r="B3" t="inlineStr">
        <is>
          <t>Internet</t>
        </is>
      </c>
    </row>
    <row r="4">
      <c r="A4" t="inlineStr">
        <is>
          <t>Saude</t>
        </is>
      </c>
      <c r="B4" t="inlineStr">
        <is>
          <t>Financiamento Carro</t>
        </is>
      </c>
    </row>
    <row r="5">
      <c r="A5" t="inlineStr">
        <is>
          <t>Educacao</t>
        </is>
      </c>
      <c r="B5" t="inlineStr">
        <is>
          <t>Combustivel</t>
        </is>
      </c>
    </row>
    <row r="6">
      <c r="A6" t="inlineStr">
        <is>
          <t>Lazer</t>
        </is>
      </c>
      <c r="B6" t="inlineStr">
        <is>
          <t>Mercado</t>
        </is>
      </c>
    </row>
    <row r="7">
      <c r="A7" t="inlineStr">
        <is>
          <t>Assinaturas</t>
        </is>
      </c>
      <c r="B7" t="inlineStr">
        <is>
          <t>Restaurante</t>
        </is>
      </c>
    </row>
    <row r="8">
      <c r="A8" t="inlineStr">
        <is>
          <t>Comunicacao</t>
        </is>
      </c>
      <c r="B8" t="inlineStr">
        <is>
          <t>Delivery</t>
        </is>
      </c>
    </row>
    <row r="9">
      <c r="A9" t="inlineStr">
        <is>
          <t>MEI Negocios</t>
        </is>
      </c>
      <c r="B9" t="inlineStr">
        <is>
          <t>Farmacia</t>
        </is>
      </c>
    </row>
    <row r="10">
      <c r="A10" t="inlineStr">
        <is>
          <t>Avivados</t>
        </is>
      </c>
      <c r="B10" t="inlineStr">
        <is>
          <t>Academia</t>
        </is>
      </c>
    </row>
    <row r="11">
      <c r="A11" t="inlineStr">
        <is>
          <t>Parcelamentos</t>
        </is>
      </c>
      <c r="B11" t="inlineStr">
        <is>
          <t>Pos-Graduacao</t>
        </is>
      </c>
    </row>
    <row r="12">
      <c r="A12" t="inlineStr">
        <is>
          <t>Outros</t>
        </is>
      </c>
      <c r="B12" t="inlineStr">
        <is>
          <t>Streaming</t>
        </is>
      </c>
    </row>
    <row r="13">
      <c r="A13" t="inlineStr">
        <is>
          <t>Salario</t>
        </is>
      </c>
      <c r="B13" t="inlineStr">
        <is>
          <t>Apple</t>
        </is>
      </c>
    </row>
    <row r="14">
      <c r="A14" t="inlineStr">
        <is>
          <t>Renda Extra</t>
        </is>
      </c>
      <c r="B14" t="inlineStr">
        <is>
          <t>Photoshop</t>
        </is>
      </c>
    </row>
    <row r="15">
      <c r="B15" t="inlineStr">
        <is>
          <t>CapCut</t>
        </is>
      </c>
    </row>
    <row r="16">
      <c r="B16" t="inlineStr">
        <is>
          <t>MEI</t>
        </is>
      </c>
    </row>
    <row r="17">
      <c r="B17" t="inlineStr">
        <is>
          <t>Celular Ele</t>
        </is>
      </c>
    </row>
    <row r="18">
      <c r="B18" t="inlineStr">
        <is>
          <t>Celular Ela</t>
        </is>
      </c>
    </row>
    <row r="19">
      <c r="B19" t="inlineStr">
        <is>
          <t>Vivo</t>
        </is>
      </c>
    </row>
    <row r="20">
      <c r="B20" t="inlineStr">
        <is>
          <t>Avivados</t>
        </is>
      </c>
    </row>
    <row r="21">
      <c r="B21" t="inlineStr">
        <is>
          <t>Parcelamento Ele</t>
        </is>
      </c>
    </row>
    <row r="22">
      <c r="B22" t="inlineStr">
        <is>
          <t>Parcelamento Ela</t>
        </is>
      </c>
    </row>
    <row r="23">
      <c r="B23" t="inlineStr">
        <is>
          <t>Salario Ele</t>
        </is>
      </c>
    </row>
    <row r="24">
      <c r="B24" t="inlineStr">
        <is>
          <t>Salario Ela</t>
        </is>
      </c>
    </row>
    <row r="25">
      <c r="B25" t="inlineStr">
        <is>
          <t>Extra</t>
        </is>
      </c>
    </row>
    <row r="26">
      <c r="B26" t="inlineStr">
        <is>
          <t>Outros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2026-06-21T19:42:06Z</dcterms:created>
  <dcterms:modified xsi:type="dcterms:W3CDTF">2026-06-21T19:42:06Z</dcterms:modified>
</cp:coreProperties>
</file>